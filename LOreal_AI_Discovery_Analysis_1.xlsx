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gna\Downloads\"/>
    </mc:Choice>
  </mc:AlternateContent>
  <xr:revisionPtr revIDLastSave="0" documentId="13_ncr:1_{9005E944-4B88-4869-857D-53F17C2DF28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00_README" sheetId="1" r:id="rId1"/>
    <sheet name="01_LOreal_Data" sheetId="2" r:id="rId2"/>
    <sheet name="02_Calculations" sheetId="3" r:id="rId3"/>
    <sheet name="03_FRED" sheetId="4" r:id="rId4"/>
    <sheet name="04_Eurostat_Consumer" sheetId="5" r:id="rId5"/>
    <sheet name="05_Eurostat_Business" sheetId="6" r:id="rId6"/>
    <sheet name="06_Charts" sheetId="7" r:id="rId7"/>
    <sheet name="07_Sources" sheetId="8" r:id="rId8"/>
    <sheet name="08_Appendix_Analysi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7" l="1"/>
  <c r="F18" i="6"/>
  <c r="E18" i="6"/>
  <c r="D18" i="6"/>
  <c r="C18" i="6"/>
  <c r="B18" i="6"/>
  <c r="A18" i="6"/>
  <c r="F17" i="6"/>
  <c r="E17" i="6"/>
  <c r="D17" i="6"/>
  <c r="C17" i="6"/>
  <c r="B17" i="6"/>
  <c r="A17" i="6"/>
  <c r="F16" i="6"/>
  <c r="E16" i="6"/>
  <c r="D16" i="6"/>
  <c r="C16" i="6"/>
  <c r="B16" i="6"/>
  <c r="A16" i="6"/>
  <c r="F15" i="6"/>
  <c r="E15" i="6"/>
  <c r="D15" i="6"/>
  <c r="C15" i="6"/>
  <c r="B15" i="6"/>
  <c r="A15" i="6"/>
  <c r="F14" i="6"/>
  <c r="E14" i="6"/>
  <c r="D14" i="6"/>
  <c r="C14" i="6"/>
  <c r="B14" i="6"/>
  <c r="A14" i="6"/>
  <c r="E18" i="5"/>
  <c r="D18" i="5"/>
  <c r="C18" i="5"/>
  <c r="B18" i="5"/>
  <c r="A18" i="5"/>
  <c r="E17" i="5"/>
  <c r="D17" i="5"/>
  <c r="C17" i="5"/>
  <c r="B17" i="5"/>
  <c r="A17" i="5"/>
  <c r="E16" i="5"/>
  <c r="D16" i="5"/>
  <c r="C16" i="5"/>
  <c r="A16" i="5"/>
  <c r="E15" i="5"/>
  <c r="D15" i="5"/>
  <c r="C15" i="5"/>
  <c r="B15" i="5"/>
  <c r="A15" i="5"/>
  <c r="E14" i="5"/>
  <c r="D14" i="5"/>
  <c r="C14" i="5"/>
  <c r="B14" i="5"/>
  <c r="A14" i="5"/>
  <c r="C103" i="4"/>
  <c r="B103" i="4"/>
  <c r="D103" i="4" s="1"/>
  <c r="C102" i="4"/>
  <c r="B102" i="4"/>
  <c r="D102" i="4" s="1"/>
  <c r="C101" i="4"/>
  <c r="B101" i="4"/>
  <c r="D101" i="4" s="1"/>
  <c r="C100" i="4"/>
  <c r="B100" i="4"/>
  <c r="D100" i="4" s="1"/>
  <c r="C99" i="4"/>
  <c r="B99" i="4"/>
  <c r="C26" i="3"/>
  <c r="B26" i="3"/>
  <c r="D26" i="3" s="1"/>
  <c r="C25" i="3"/>
  <c r="B25" i="3"/>
  <c r="D25" i="3" s="1"/>
  <c r="C24" i="3"/>
  <c r="D24" i="3" s="1"/>
  <c r="B24" i="3"/>
  <c r="C23" i="3"/>
  <c r="B23" i="3"/>
  <c r="D23" i="3" s="1"/>
  <c r="C22" i="3"/>
  <c r="B22" i="3"/>
  <c r="D22" i="3" s="1"/>
  <c r="F16" i="3"/>
  <c r="E16" i="3"/>
  <c r="D16" i="3"/>
  <c r="E15" i="3"/>
  <c r="F15" i="3" s="1"/>
  <c r="D15" i="3"/>
  <c r="F10" i="3"/>
  <c r="G10" i="3" s="1"/>
  <c r="E10" i="3"/>
  <c r="D10" i="3"/>
  <c r="B10" i="3"/>
  <c r="F9" i="3"/>
  <c r="G9" i="3" s="1"/>
  <c r="E9" i="3"/>
  <c r="D9" i="3"/>
  <c r="C9" i="3"/>
  <c r="B9" i="3"/>
  <c r="F8" i="3"/>
  <c r="G8" i="3" s="1"/>
  <c r="E8" i="3"/>
  <c r="D8" i="3"/>
  <c r="B8" i="3"/>
  <c r="G7" i="3"/>
  <c r="F7" i="3"/>
  <c r="E7" i="3"/>
  <c r="D7" i="3"/>
  <c r="B7" i="3"/>
  <c r="F6" i="3"/>
  <c r="E6" i="3"/>
  <c r="D6" i="3"/>
  <c r="C6" i="3"/>
  <c r="B6" i="3"/>
  <c r="C9" i="2"/>
  <c r="C10" i="3" s="1"/>
  <c r="C8" i="2"/>
  <c r="C7" i="2"/>
  <c r="C8" i="3" s="1"/>
  <c r="C6" i="2"/>
  <c r="C7" i="3" s="1"/>
  <c r="D16" i="9"/>
  <c r="D15" i="9"/>
  <c r="C9" i="9"/>
  <c r="B9" i="9"/>
  <c r="D9" i="9" s="1"/>
  <c r="C8" i="9"/>
  <c r="B8" i="9"/>
  <c r="D8" i="9" s="1"/>
  <c r="C7" i="9"/>
  <c r="C6" i="9"/>
  <c r="B6" i="9" l="1"/>
  <c r="D6" i="9" s="1"/>
  <c r="B7" i="9"/>
  <c r="D7" i="9" s="1"/>
</calcChain>
</file>

<file path=xl/sharedStrings.xml><?xml version="1.0" encoding="utf-8"?>
<sst xmlns="http://schemas.openxmlformats.org/spreadsheetml/2006/main" count="210" uniqueCount="158">
  <si>
    <t>L'Oréal — AI Discovery Measurement Analysis</t>
  </si>
  <si>
    <t>Portfolio analysis workbook | evidence → calculations → context → charts</t>
  </si>
  <si>
    <t>BUSINESS QUESTION</t>
  </si>
  <si>
    <t>As beauty discovery moves into conversational AI, how can L'Oréal extend its existing measurement/data-collaboration model to understand AI-driven demand without needing to own the AI touchpoint?</t>
  </si>
  <si>
    <t>WORKBOOK STRUCTURE</t>
  </si>
  <si>
    <t>01_LOreal_Data</t>
  </si>
  <si>
    <t>Clean L'Oréal annual data.</t>
  </si>
  <si>
    <t>02_Calculations</t>
  </si>
  <si>
    <t>YoY, percentage points, CAGR, indexing and comparisons.</t>
  </si>
  <si>
    <t>03_FRED</t>
  </si>
  <si>
    <t>U.S. Health &amp; Personal Care Stores context.</t>
  </si>
  <si>
    <t>04_Eurostat_Consumer</t>
  </si>
  <si>
    <t>Consumer online-purchase adoption.</t>
  </si>
  <si>
    <t>05_Eurostat_Business</t>
  </si>
  <si>
    <t>Enterprise B2C web-sales adoption.</t>
  </si>
  <si>
    <t>06_Charts</t>
  </si>
  <si>
    <t>Clean tables feeding the PPT visuals.</t>
  </si>
  <si>
    <t>07_Sources</t>
  </si>
  <si>
    <t>Source audit, definitions and limitations.</t>
  </si>
  <si>
    <t>08_Appendix_Analysis</t>
  </si>
  <si>
    <t>Supporting observations, including Spain.</t>
  </si>
  <si>
    <t>KEY METHODOLOGY RULES</t>
  </si>
  <si>
    <t>•</t>
  </si>
  <si>
    <t>Reported growth and LFL growth are not interchangeable.</t>
  </si>
  <si>
    <t>Use percentage-point change for shares/adoption rates.</t>
  </si>
  <si>
    <t>2025 e-commerce: €13.3bn in sales, 30.2% of Group sales (2025 Universal Registration Document).</t>
  </si>
  <si>
    <t>FRED/Eurostat are contextual, not like-for-like L'Oréal benchmarks.</t>
  </si>
  <si>
    <t>AI attribution is not treated as proof of incrementality.</t>
  </si>
  <si>
    <t>Unknown values remain unknown rather than becoming zero.</t>
  </si>
  <si>
    <t>SOURCE FILES USED</t>
  </si>
  <si>
    <t>L'Oréal Annual Reports / 2025 Universal Registration Document / 2025 Annual Results.</t>
  </si>
  <si>
    <t>FRED MRTSSM446USS.</t>
  </si>
  <si>
    <t>Eurostat isoc_ec_ib20.</t>
  </si>
  <si>
    <t>Eurostat isoc_ec_esels.</t>
  </si>
  <si>
    <t>01 — L'Oréal Core Data</t>
  </si>
  <si>
    <t>Annual company data | € million unless stated</t>
  </si>
  <si>
    <t>Year</t>
  </si>
  <si>
    <t>Total Sales (€m)</t>
  </si>
  <si>
    <t>Reported YoY Growth</t>
  </si>
  <si>
    <t>LFL Sales Growth</t>
  </si>
  <si>
    <t>E-commerce Sales (€m)</t>
  </si>
  <si>
    <t>E-commerce Share</t>
  </si>
  <si>
    <t>E-commerce Growth</t>
  </si>
  <si>
    <t>Operating Margin</t>
  </si>
  <si>
    <t>E-commerce definition: sales on L'Oréal brand websites, sales to online pure players, and the e-commerce portion of sales to traditional retailers; like-for-like, based on non-audited declarative data.</t>
  </si>
  <si>
    <t>02 — Calculations</t>
  </si>
  <si>
    <t>Formula-driven calculations used in the analysis</t>
  </si>
  <si>
    <t>A. Year-on-Year Growth</t>
  </si>
  <si>
    <t>Reported YoY</t>
  </si>
  <si>
    <t>LFL Growth</t>
  </si>
  <si>
    <t>Share Δ (pp)</t>
  </si>
  <si>
    <t>2025 e-commerce: €13.3bn, 30.2% of Group sales, +12.7% (2025 Universal Registration Document)</t>
  </si>
  <si>
    <t>B. CAGR</t>
  </si>
  <si>
    <t>Metric</t>
  </si>
  <si>
    <t>Start Year</t>
  </si>
  <si>
    <t>End Year</t>
  </si>
  <si>
    <t>Start Value</t>
  </si>
  <si>
    <t>End Value</t>
  </si>
  <si>
    <t>CAGR</t>
  </si>
  <si>
    <t>Total Sales</t>
  </si>
  <si>
    <t>E-commerce Sales</t>
  </si>
  <si>
    <t>CAGR note: total sales and e-commerce sales both use the same 2021–2025 window (4 years).</t>
  </si>
  <si>
    <t>C. Indexing (2021 = 100)</t>
  </si>
  <si>
    <t>Total Sales Index</t>
  </si>
  <si>
    <t>E-commerce Index</t>
  </si>
  <si>
    <t>Index Gap (Total − E-commerce)</t>
  </si>
  <si>
    <t>Index interpretation: 2021 is rebased to 100. Indexing shows the full path rather than compressing the period into one CAGR.</t>
  </si>
  <si>
    <t>03 — FRED External Retail Context</t>
  </si>
  <si>
    <t>U.S. Retail Sales: Health &amp; Personal Care Stores | monthly, seasonally adjusted, $ millions</t>
  </si>
  <si>
    <t>Observation Date</t>
  </si>
  <si>
    <t>Sales ($m)</t>
  </si>
  <si>
    <t>Annual Summary</t>
  </si>
  <si>
    <t>Annual Total ($m)</t>
  </si>
  <si>
    <t>Annual Average ($m)</t>
  </si>
  <si>
    <t>YoY Growth</t>
  </si>
  <si>
    <t>Comparability note: FRED is U.S.-only and category-level, while L'Oréal is global and company-specific. Use as directional context only.</t>
  </si>
  <si>
    <t>04 — Eurostat Consumer Adoption</t>
  </si>
  <si>
    <t>Last online purchase: in the last 3 months | % of individuals | 2020–2025</t>
  </si>
  <si>
    <t>Country</t>
  </si>
  <si>
    <t>2020</t>
  </si>
  <si>
    <t>2021</t>
  </si>
  <si>
    <t>2022</t>
  </si>
  <si>
    <t>2023</t>
  </si>
  <si>
    <t>2024</t>
  </si>
  <si>
    <t>2025</t>
  </si>
  <si>
    <t>EU-27</t>
  </si>
  <si>
    <t>Germany</t>
  </si>
  <si>
    <t>France</t>
  </si>
  <si>
    <t>Spain</t>
  </si>
  <si>
    <t>Italy</t>
  </si>
  <si>
    <t>YoY change (percentage points)</t>
  </si>
  <si>
    <t>2020→2021</t>
  </si>
  <si>
    <t>2021→2022</t>
  </si>
  <si>
    <t>2022→2023</t>
  </si>
  <si>
    <t>2023→2024</t>
  </si>
  <si>
    <t>Caveats: this measures people reporting an online purchase in the last 3 months, not beauty purchases or spending. Eurostat flags structural breaks in parts of the series; 2020→2021 comparisons should be treated cautiously. France has no disclosed 2020 value, so its 2020→2021 change is left blank rather than computed against a false zero.</t>
  </si>
  <si>
    <t>05 — Eurostat Business Adoption</t>
  </si>
  <si>
    <t>Enterprises with web sales — B2C | 10 persons employed or more | % of enterprises | 2020–2025</t>
  </si>
  <si>
    <t>2024→2025</t>
  </si>
  <si>
    <t>Caveats: this is all-sector enterprise adoption, not beauty/retail-specific. France has a flagged break in 2022 in the source series.</t>
  </si>
  <si>
    <t>06 — Chart Source Tables</t>
  </si>
  <si>
    <t>Only the clean tables needed to reproduce the portfolio visuals</t>
  </si>
  <si>
    <t>Chart 1 — E-commerce Share of Sales</t>
  </si>
  <si>
    <t>Chart 2 — Growth vs Margin</t>
  </si>
  <si>
    <t>These tables are separated from calculations so the PPT charts can be reproduced without touching the analytical tabs.</t>
  </si>
  <si>
    <t>07 — Sources &amp; Methodology</t>
  </si>
  <si>
    <t>Source audit for the portfolio workbook</t>
  </si>
  <si>
    <t>Source</t>
  </si>
  <si>
    <t>Publisher / Provider</t>
  </si>
  <si>
    <t>Period Used</t>
  </si>
  <si>
    <t>Supports</t>
  </si>
  <si>
    <t>Key limitation / note</t>
  </si>
  <si>
    <t>L'Oréal Annual Reports 2021–2024</t>
  </si>
  <si>
    <t>L'Oréal</t>
  </si>
  <si>
    <t>2021–2024</t>
  </si>
  <si>
    <t>Total sales, LFL growth, e-commerce sales/share/growth, operating margin</t>
  </si>
  <si>
    <t>Company-reported; e-commerce definition is consistent across the series.</t>
  </si>
  <si>
    <t>L'Oréal Universal Registration Document 2025</t>
  </si>
  <si>
    <t>2025 sales, reported/LFL growth, operating margin, e-commerce sales €13.3bn = 30.2% of Group sales (+12.7%)</t>
  </si>
  <si>
    <t>Company-reported; e-commerce sales rounded to €0.1bn in the source.</t>
  </si>
  <si>
    <t>2025 Annual Results</t>
  </si>
  <si>
    <t>2025 headline results; e-commerce described as passing the 30% mark</t>
  </si>
  <si>
    <t>Exact 2025 e-commerce figures are taken from the Universal Registration Document, not this release.</t>
  </si>
  <si>
    <t>MRTSSM446USS</t>
  </si>
  <si>
    <t>U.S. Census via FRED</t>
  </si>
  <si>
    <t>2019–2026 monthly; 2021–2025 analysis</t>
  </si>
  <si>
    <t>Health &amp; Personal Care Stores retail context</t>
  </si>
  <si>
    <t>U.S.-only, category-level benchmark; not like-for-like with L'Oréal.</t>
  </si>
  <si>
    <t>isoc_ec_ib20</t>
  </si>
  <si>
    <t>Eurostat</t>
  </si>
  <si>
    <t>2020–2025</t>
  </si>
  <si>
    <t>Online purchase adoption by individuals</t>
  </si>
  <si>
    <t>All-category online shopping; not beauty-specific spending; structural breaks flagged.</t>
  </si>
  <si>
    <t>isoc_ec_esels</t>
  </si>
  <si>
    <t>Enterprise B2C web-sales adoption</t>
  </si>
  <si>
    <t>All sectors; 10+ employees; not beauty-specific; France has a flagged 2022 break.</t>
  </si>
  <si>
    <t>L'Oréal × OpenAI announcement, 17 June 2026</t>
  </si>
  <si>
    <t>L'Oréal / OpenAI (VivaTech)</t>
  </si>
  <si>
    <t>2026</t>
  </si>
  <si>
    <t>AI-powered discovery, virtual try-on, and advertising initiatives</t>
  </si>
  <si>
    <t>Announcement establishes scope; L'Oréal-specific measurement implementation is not detailed in public sources.</t>
  </si>
  <si>
    <t>OpenAI ChatGPT Ads documentation</t>
  </si>
  <si>
    <t>OpenAI</t>
  </si>
  <si>
    <t>Current as of September 2026</t>
  </si>
  <si>
    <t>Platform-level geographic targeting and reporting capability</t>
  </si>
  <si>
    <t>Confirms platform capability only — not L'Oréal's specific eligible-market assignment or reporting access.</t>
  </si>
  <si>
    <t>Comparability rule: L'Oréal vs itself supports full quantitative analysis. FRED and Eurostat are contextual/descriptive evidence only.</t>
  </si>
  <si>
    <t>08 — Appendix Analysis</t>
  </si>
  <si>
    <t>Supporting observations behind the main portfolio narrative</t>
  </si>
  <si>
    <t>Reported Growth vs Like-for-Like Growth</t>
  </si>
  <si>
    <t>Difference (pp)</t>
  </si>
  <si>
    <t>Reported growth includes currency/scope effects; LFL growth is based on comparable structure and identical exchange rates. The main deck uses LFL for the five-year operating trend.</t>
  </si>
  <si>
    <t>Spain — 2024→2025 Divergence</t>
  </si>
  <si>
    <t>Indicator</t>
  </si>
  <si>
    <t>Change (pp)</t>
  </si>
  <si>
    <t>Consumer online purchase adoption</t>
  </si>
  <si>
    <t>Interpretation rule: the Spain divergence is descriptive, not causal. The datasets measure different populations and concepts, so the reason remains unresolved.</t>
  </si>
  <si>
    <t>2025: L’Oréal’s Universal Registration Document reports €13.3bn in e-commerce sales, equal to 30.2% of Group sales, up 12.7% in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</si>
</sst>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mmm\-yy"/>
  </numFmts>
  <fonts count="7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  <charset val="1"/>
    </font>
    <font>
      <i/>
      <sz val="10"/>
      <color rgb="FF4B5563"/>
      <name val="Calibri"/>
      <family val="2"/>
      <charset val="1"/>
    </font>
    <font>
      <b/>
      <sz val="11"/>
      <color rgb="FFC8102E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4B5563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7D6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3" fillId="0" borderId="0" xfId="0" applyFont="1"/>
    <xf numFmtId="0" fontId="0" fillId="0" borderId="0" xfId="0" applyAlignment="1">
      <alignment vertical="top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165" fontId="0" fillId="0" borderId="2" xfId="0" applyNumberFormat="1" applyBorder="1" applyAlignment="1">
      <alignment vertical="center"/>
    </xf>
    <xf numFmtId="10" fontId="0" fillId="0" borderId="2" xfId="0" applyNumberFormat="1" applyBorder="1" applyAlignment="1">
      <alignment vertical="center"/>
    </xf>
    <xf numFmtId="2" fontId="0" fillId="0" borderId="2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65" fontId="0" fillId="0" borderId="0" xfId="0" applyNumberForma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B5563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OrealCore" displayName="LOrealCore" ref="A4:H9" totalsRowShown="0">
  <autoFilter ref="A4:H9" xr:uid="{00000000-0009-0000-0100-000006000000}"/>
  <tableColumns count="8">
    <tableColumn id="1" xr3:uid="{00000000-0010-0000-0000-000001000000}" name="Year"/>
    <tableColumn id="2" xr3:uid="{00000000-0010-0000-0000-000002000000}" name="Total Sales (€m)"/>
    <tableColumn id="3" xr3:uid="{00000000-0010-0000-0000-000003000000}" name="Reported YoY Growth"/>
    <tableColumn id="4" xr3:uid="{00000000-0010-0000-0000-000004000000}" name="LFL Sales Growth"/>
    <tableColumn id="5" xr3:uid="{00000000-0010-0000-0000-000005000000}" name="E-commerce Sales (€m)"/>
    <tableColumn id="6" xr3:uid="{00000000-0010-0000-0000-000006000000}" name="E-commerce Share"/>
    <tableColumn id="7" xr3:uid="{00000000-0010-0000-0000-000007000000}" name="E-commerce Growth"/>
    <tableColumn id="8" xr3:uid="{00000000-0010-0000-0000-000008000000}" name="Operating Margi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FREDMonthly" displayName="FREDMonthly" ref="A4:C94" totalsRowShown="0">
  <autoFilter ref="A4:C94" xr:uid="{00000000-0009-0000-0100-000005000000}"/>
  <tableColumns count="3">
    <tableColumn id="1" xr3:uid="{00000000-0010-0000-0100-000001000000}" name="Observation Date"/>
    <tableColumn id="2" xr3:uid="{00000000-0010-0000-0100-000002000000}" name="Sales ($m)"/>
    <tableColumn id="3" xr3:uid="{00000000-0010-0000-0100-000003000000}" name="Yea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EurostatConsumer" displayName="EurostatConsumer" ref="A4:G9" totalsRowShown="0">
  <autoFilter ref="A4:G9" xr:uid="{00000000-0009-0000-0100-000004000000}"/>
  <tableColumns count="7">
    <tableColumn id="1" xr3:uid="{00000000-0010-0000-0200-000001000000}" name="Country"/>
    <tableColumn id="2" xr3:uid="{00000000-0010-0000-0200-000002000000}" name="2020"/>
    <tableColumn id="3" xr3:uid="{00000000-0010-0000-0200-000003000000}" name="2021"/>
    <tableColumn id="4" xr3:uid="{00000000-0010-0000-0200-000004000000}" name="2022"/>
    <tableColumn id="5" xr3:uid="{00000000-0010-0000-0200-000005000000}" name="2023"/>
    <tableColumn id="6" xr3:uid="{00000000-0010-0000-0200-000006000000}" name="2024"/>
    <tableColumn id="7" xr3:uid="{00000000-0010-0000-0200-000007000000}" name="202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EurostatBusiness" displayName="EurostatBusiness" ref="A4:G9" totalsRowShown="0">
  <autoFilter ref="A4:G9" xr:uid="{00000000-0009-0000-0100-000003000000}"/>
  <tableColumns count="7">
    <tableColumn id="1" xr3:uid="{00000000-0010-0000-0300-000001000000}" name="Country"/>
    <tableColumn id="2" xr3:uid="{00000000-0010-0000-0300-000002000000}" name="2020"/>
    <tableColumn id="3" xr3:uid="{00000000-0010-0000-0300-000003000000}" name="2021"/>
    <tableColumn id="4" xr3:uid="{00000000-0010-0000-0300-000004000000}" name="2022"/>
    <tableColumn id="5" xr3:uid="{00000000-0010-0000-0300-000005000000}" name="2023"/>
    <tableColumn id="6" xr3:uid="{00000000-0010-0000-0300-000006000000}" name="2024"/>
    <tableColumn id="7" xr3:uid="{00000000-0010-0000-0300-000007000000}" name="202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hartECShare" displayName="ChartECShare" ref="A5:B10" totalsRowShown="0">
  <autoFilter ref="A5:B10" xr:uid="{00000000-0009-0000-0100-000001000000}"/>
  <tableColumns count="2">
    <tableColumn id="1" xr3:uid="{00000000-0010-0000-0400-000001000000}" name="Year"/>
    <tableColumn id="2" xr3:uid="{00000000-0010-0000-0400-000002000000}" name="E-commerce Shar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ChartGrowthMargin" displayName="ChartGrowthMargin" ref="D5:F10" totalsRowShown="0">
  <autoFilter ref="D5:F10" xr:uid="{00000000-0009-0000-0100-000002000000}"/>
  <tableColumns count="3">
    <tableColumn id="1" xr3:uid="{00000000-0010-0000-0500-000001000000}" name="Year"/>
    <tableColumn id="2" xr3:uid="{00000000-0010-0000-0500-000002000000}" name="LFL Sales Growth"/>
    <tableColumn id="3" xr3:uid="{00000000-0010-0000-0500-000003000000}" name="Operating Margi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937"/>
  </sheetPr>
  <dimension ref="A1:F31"/>
  <sheetViews>
    <sheetView showGridLines="0" zoomScaleNormal="100" workbookViewId="0">
      <pane ySplit="3" topLeftCell="A19" activePane="bottomLeft" state="frozen"/>
      <selection pane="bottomLeft" activeCell="A19" sqref="A19"/>
    </sheetView>
  </sheetViews>
  <sheetFormatPr defaultColWidth="8.6640625" defaultRowHeight="14.4" x14ac:dyDescent="0.3"/>
  <cols>
    <col min="1" max="1" width="30" customWidth="1"/>
    <col min="2" max="2" width="100" customWidth="1"/>
  </cols>
  <sheetData>
    <row r="1" spans="1:6" ht="30" customHeight="1" x14ac:dyDescent="0.45">
      <c r="A1" s="3" t="s">
        <v>0</v>
      </c>
      <c r="B1" s="3"/>
      <c r="C1" s="3"/>
      <c r="D1" s="3"/>
      <c r="E1" s="3"/>
      <c r="F1" s="3"/>
    </row>
    <row r="2" spans="1:6" ht="33.75" customHeight="1" x14ac:dyDescent="0.3">
      <c r="A2" s="2" t="s">
        <v>1</v>
      </c>
      <c r="B2" s="2"/>
      <c r="C2" s="2"/>
      <c r="D2" s="2"/>
      <c r="E2" s="2"/>
      <c r="F2" s="2"/>
    </row>
    <row r="4" spans="1:6" ht="14.25" customHeight="1" x14ac:dyDescent="0.3">
      <c r="A4" s="4" t="s">
        <v>2</v>
      </c>
    </row>
    <row r="5" spans="1:6" ht="14.25" customHeight="1" x14ac:dyDescent="0.3">
      <c r="A5" s="5" t="s">
        <v>3</v>
      </c>
    </row>
    <row r="7" spans="1:6" ht="14.25" customHeight="1" x14ac:dyDescent="0.3">
      <c r="A7" s="4" t="s">
        <v>4</v>
      </c>
    </row>
    <row r="8" spans="1:6" ht="14.25" customHeight="1" x14ac:dyDescent="0.3">
      <c r="A8" s="6" t="s">
        <v>5</v>
      </c>
      <c r="B8" t="s">
        <v>6</v>
      </c>
    </row>
    <row r="9" spans="1:6" ht="14.25" customHeight="1" x14ac:dyDescent="0.3">
      <c r="A9" s="6" t="s">
        <v>7</v>
      </c>
      <c r="B9" t="s">
        <v>8</v>
      </c>
    </row>
    <row r="10" spans="1:6" ht="14.25" customHeight="1" x14ac:dyDescent="0.3">
      <c r="A10" s="6" t="s">
        <v>9</v>
      </c>
      <c r="B10" t="s">
        <v>10</v>
      </c>
    </row>
    <row r="11" spans="1:6" ht="14.25" customHeight="1" x14ac:dyDescent="0.3">
      <c r="A11" s="6" t="s">
        <v>11</v>
      </c>
      <c r="B11" t="s">
        <v>12</v>
      </c>
    </row>
    <row r="12" spans="1:6" ht="14.25" customHeight="1" x14ac:dyDescent="0.3">
      <c r="A12" s="6" t="s">
        <v>13</v>
      </c>
      <c r="B12" t="s">
        <v>14</v>
      </c>
    </row>
    <row r="13" spans="1:6" ht="14.25" customHeight="1" x14ac:dyDescent="0.3">
      <c r="A13" s="6" t="s">
        <v>15</v>
      </c>
      <c r="B13" t="s">
        <v>16</v>
      </c>
    </row>
    <row r="14" spans="1:6" ht="14.25" customHeight="1" x14ac:dyDescent="0.3">
      <c r="A14" s="6" t="s">
        <v>17</v>
      </c>
      <c r="B14" t="s">
        <v>18</v>
      </c>
    </row>
    <row r="15" spans="1:6" ht="14.25" customHeight="1" x14ac:dyDescent="0.3">
      <c r="A15" s="6" t="s">
        <v>19</v>
      </c>
      <c r="B15" t="s">
        <v>20</v>
      </c>
    </row>
    <row r="18" spans="1:2" ht="14.25" customHeight="1" x14ac:dyDescent="0.3">
      <c r="A18" s="4" t="s">
        <v>21</v>
      </c>
    </row>
    <row r="19" spans="1:2" ht="14.25" customHeight="1" x14ac:dyDescent="0.3">
      <c r="A19" t="s">
        <v>22</v>
      </c>
      <c r="B19" t="s">
        <v>23</v>
      </c>
    </row>
    <row r="20" spans="1:2" ht="14.25" customHeight="1" x14ac:dyDescent="0.3">
      <c r="A20" t="s">
        <v>22</v>
      </c>
      <c r="B20" t="s">
        <v>24</v>
      </c>
    </row>
    <row r="21" spans="1:2" ht="14.25" customHeight="1" x14ac:dyDescent="0.3">
      <c r="A21" t="s">
        <v>22</v>
      </c>
      <c r="B21" t="s">
        <v>25</v>
      </c>
    </row>
    <row r="22" spans="1:2" ht="14.25" customHeight="1" x14ac:dyDescent="0.3">
      <c r="A22" t="s">
        <v>22</v>
      </c>
      <c r="B22" t="s">
        <v>26</v>
      </c>
    </row>
    <row r="23" spans="1:2" ht="14.25" customHeight="1" x14ac:dyDescent="0.3">
      <c r="A23" t="s">
        <v>22</v>
      </c>
      <c r="B23" t="s">
        <v>27</v>
      </c>
    </row>
    <row r="24" spans="1:2" ht="14.25" customHeight="1" x14ac:dyDescent="0.3">
      <c r="A24" t="s">
        <v>22</v>
      </c>
      <c r="B24" t="s">
        <v>28</v>
      </c>
    </row>
    <row r="27" spans="1:2" ht="14.25" customHeight="1" x14ac:dyDescent="0.3">
      <c r="A27" s="4" t="s">
        <v>29</v>
      </c>
    </row>
    <row r="28" spans="1:2" ht="14.25" customHeight="1" x14ac:dyDescent="0.3">
      <c r="A28" t="s">
        <v>22</v>
      </c>
      <c r="B28" t="s">
        <v>30</v>
      </c>
    </row>
    <row r="29" spans="1:2" ht="14.25" customHeight="1" x14ac:dyDescent="0.3">
      <c r="A29" t="s">
        <v>22</v>
      </c>
      <c r="B29" t="s">
        <v>31</v>
      </c>
    </row>
    <row r="30" spans="1:2" ht="14.25" customHeight="1" x14ac:dyDescent="0.3">
      <c r="A30" t="s">
        <v>22</v>
      </c>
      <c r="B30" t="s">
        <v>32</v>
      </c>
    </row>
    <row r="31" spans="1:2" ht="14.25" customHeight="1" x14ac:dyDescent="0.3">
      <c r="A31" t="s">
        <v>22</v>
      </c>
      <c r="B31" t="s">
        <v>33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102E"/>
  </sheetPr>
  <dimension ref="A1:H13"/>
  <sheetViews>
    <sheetView showGridLines="0" tabSelected="1" zoomScaleNormal="100" workbookViewId="0">
      <pane ySplit="4" topLeftCell="A5" activePane="bottomLeft" state="frozen"/>
      <selection pane="bottomLeft" activeCell="A13" sqref="A13:H13"/>
    </sheetView>
  </sheetViews>
  <sheetFormatPr defaultColWidth="8.6640625" defaultRowHeight="14.4" x14ac:dyDescent="0.3"/>
  <cols>
    <col min="1" max="1" width="10" customWidth="1"/>
    <col min="2" max="2" width="17" customWidth="1"/>
    <col min="3" max="3" width="19" customWidth="1"/>
    <col min="4" max="4" width="17" customWidth="1"/>
    <col min="5" max="5" width="21" customWidth="1"/>
    <col min="6" max="7" width="18" customWidth="1"/>
    <col min="8" max="8" width="17" customWidth="1"/>
  </cols>
  <sheetData>
    <row r="1" spans="1:8" ht="30" customHeight="1" x14ac:dyDescent="0.45">
      <c r="A1" s="3" t="s">
        <v>34</v>
      </c>
      <c r="B1" s="3"/>
      <c r="C1" s="3"/>
      <c r="D1" s="3"/>
      <c r="E1" s="3"/>
      <c r="F1" s="3"/>
    </row>
    <row r="2" spans="1:8" ht="33.75" customHeight="1" x14ac:dyDescent="0.3">
      <c r="A2" s="2" t="s">
        <v>35</v>
      </c>
      <c r="B2" s="2"/>
      <c r="C2" s="2"/>
      <c r="D2" s="2"/>
      <c r="E2" s="2"/>
      <c r="F2" s="2"/>
    </row>
    <row r="4" spans="1:8" ht="30" customHeight="1" x14ac:dyDescent="0.3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</row>
    <row r="5" spans="1:8" ht="14.25" customHeight="1" x14ac:dyDescent="0.3">
      <c r="A5" s="8">
        <v>2021</v>
      </c>
      <c r="B5" s="9">
        <v>32287.599999999999</v>
      </c>
      <c r="C5" s="10"/>
      <c r="D5" s="10">
        <v>0.161</v>
      </c>
      <c r="E5" s="9">
        <v>9300</v>
      </c>
      <c r="F5" s="10">
        <v>0.28899999999999998</v>
      </c>
      <c r="G5" s="10"/>
      <c r="H5" s="10">
        <v>0.191</v>
      </c>
    </row>
    <row r="6" spans="1:8" ht="14.25" customHeight="1" x14ac:dyDescent="0.3">
      <c r="A6" s="8">
        <v>2022</v>
      </c>
      <c r="B6" s="9">
        <v>38260.6</v>
      </c>
      <c r="C6" s="10">
        <f>(B6/B5)-1</f>
        <v>0.18499361984167306</v>
      </c>
      <c r="D6" s="10">
        <v>0.109</v>
      </c>
      <c r="E6" s="9">
        <v>10800</v>
      </c>
      <c r="F6" s="10">
        <v>0.28000000000000003</v>
      </c>
      <c r="G6" s="10">
        <v>8.8999999999999996E-2</v>
      </c>
      <c r="H6" s="10">
        <v>0.19500000000000001</v>
      </c>
    </row>
    <row r="7" spans="1:8" ht="14.25" customHeight="1" x14ac:dyDescent="0.3">
      <c r="A7" s="8">
        <v>2023</v>
      </c>
      <c r="B7" s="9">
        <v>41182.5</v>
      </c>
      <c r="C7" s="10">
        <f>(B7/B6)-1</f>
        <v>7.63683789590337E-2</v>
      </c>
      <c r="D7" s="10">
        <v>0.11</v>
      </c>
      <c r="E7" s="9">
        <v>11200</v>
      </c>
      <c r="F7" s="10">
        <v>0.27</v>
      </c>
      <c r="G7" s="10">
        <v>9.5000000000000001E-2</v>
      </c>
      <c r="H7" s="10">
        <v>0.19800000000000001</v>
      </c>
    </row>
    <row r="8" spans="1:8" ht="14.25" customHeight="1" x14ac:dyDescent="0.3">
      <c r="A8" s="8">
        <v>2024</v>
      </c>
      <c r="B8" s="9">
        <v>43486.8</v>
      </c>
      <c r="C8" s="10">
        <f>(B8/B7)-1</f>
        <v>5.595337825532698E-2</v>
      </c>
      <c r="D8" s="10">
        <v>5.0999999999999997E-2</v>
      </c>
      <c r="E8" s="9">
        <v>12300</v>
      </c>
      <c r="F8" s="10">
        <v>0.28199999999999997</v>
      </c>
      <c r="G8" s="10">
        <v>7.8E-2</v>
      </c>
      <c r="H8" s="10">
        <v>0.2</v>
      </c>
    </row>
    <row r="9" spans="1:8" ht="14.25" customHeight="1" x14ac:dyDescent="0.3">
      <c r="A9" s="8">
        <v>2025</v>
      </c>
      <c r="B9" s="9">
        <v>44052</v>
      </c>
      <c r="C9" s="10">
        <f>(B9/B8)-1</f>
        <v>1.29970473798946E-2</v>
      </c>
      <c r="D9" s="10">
        <v>0.04</v>
      </c>
      <c r="E9" s="9">
        <v>13300</v>
      </c>
      <c r="F9" s="10">
        <v>0.30199999999999999</v>
      </c>
      <c r="G9" s="10">
        <v>0.127</v>
      </c>
      <c r="H9" s="10">
        <v>0.20200000000000001</v>
      </c>
    </row>
    <row r="11" spans="1:8" ht="42" customHeight="1" x14ac:dyDescent="0.3">
      <c r="A11" s="1" t="s">
        <v>44</v>
      </c>
      <c r="B11" s="1"/>
      <c r="C11" s="1"/>
      <c r="D11" s="1"/>
      <c r="E11" s="1"/>
      <c r="F11" s="1"/>
      <c r="G11" s="1"/>
      <c r="H11" s="1"/>
    </row>
    <row r="13" spans="1:8" ht="42" customHeight="1" x14ac:dyDescent="0.3">
      <c r="A13" s="1" t="s">
        <v>157</v>
      </c>
      <c r="B13" s="1"/>
      <c r="C13" s="1"/>
      <c r="D13" s="1"/>
      <c r="E13" s="1"/>
      <c r="F13" s="1"/>
      <c r="G13" s="1"/>
      <c r="H13" s="1"/>
    </row>
  </sheetData>
  <mergeCells count="4">
    <mergeCell ref="A1:F1"/>
    <mergeCell ref="A2:F2"/>
    <mergeCell ref="A11:H11"/>
    <mergeCell ref="A13:H13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7280"/>
  </sheetPr>
  <dimension ref="A1:H28"/>
  <sheetViews>
    <sheetView showGridLines="0" zoomScaleNormal="100" workbookViewId="0">
      <pane ySplit="4" topLeftCell="A18" activePane="bottomLeft" state="frozen"/>
      <selection pane="bottomLeft" activeCell="A22" sqref="A22"/>
    </sheetView>
  </sheetViews>
  <sheetFormatPr defaultColWidth="8.6640625" defaultRowHeight="14.4" x14ac:dyDescent="0.3"/>
  <cols>
    <col min="1" max="1" width="24" customWidth="1"/>
    <col min="2" max="5" width="18" customWidth="1"/>
    <col min="6" max="6" width="15" customWidth="1"/>
    <col min="7" max="7" width="18" customWidth="1"/>
  </cols>
  <sheetData>
    <row r="1" spans="1:8" ht="30" customHeight="1" x14ac:dyDescent="0.45">
      <c r="A1" s="3" t="s">
        <v>45</v>
      </c>
      <c r="B1" s="3"/>
      <c r="C1" s="3"/>
      <c r="D1" s="3"/>
      <c r="E1" s="3"/>
      <c r="F1" s="3"/>
    </row>
    <row r="2" spans="1:8" ht="33.75" customHeight="1" x14ac:dyDescent="0.3">
      <c r="A2" s="2" t="s">
        <v>46</v>
      </c>
      <c r="B2" s="2"/>
      <c r="C2" s="2"/>
      <c r="D2" s="2"/>
      <c r="E2" s="2"/>
      <c r="F2" s="2"/>
    </row>
    <row r="4" spans="1:8" ht="14.25" customHeight="1" x14ac:dyDescent="0.3">
      <c r="A4" s="4" t="s">
        <v>47</v>
      </c>
    </row>
    <row r="5" spans="1:8" ht="30" customHeight="1" x14ac:dyDescent="0.3">
      <c r="A5" s="11" t="s">
        <v>36</v>
      </c>
      <c r="B5" s="11" t="s">
        <v>37</v>
      </c>
      <c r="C5" s="11" t="s">
        <v>48</v>
      </c>
      <c r="D5" s="11" t="s">
        <v>49</v>
      </c>
      <c r="E5" s="11" t="s">
        <v>42</v>
      </c>
      <c r="F5" s="11" t="s">
        <v>41</v>
      </c>
      <c r="G5" s="11" t="s">
        <v>50</v>
      </c>
    </row>
    <row r="6" spans="1:8" ht="14.25" customHeight="1" x14ac:dyDescent="0.3">
      <c r="A6" s="12">
        <v>2021</v>
      </c>
      <c r="B6" s="13">
        <f>'01_LOreal_Data'!B5</f>
        <v>32287.599999999999</v>
      </c>
      <c r="C6" s="14">
        <f>'01_LOreal_Data'!C5</f>
        <v>0</v>
      </c>
      <c r="D6" s="14">
        <f>'01_LOreal_Data'!D5</f>
        <v>0.161</v>
      </c>
      <c r="E6" s="14">
        <f>'01_LOreal_Data'!G5</f>
        <v>0</v>
      </c>
      <c r="F6" s="14">
        <f>'01_LOreal_Data'!F5</f>
        <v>0.28899999999999998</v>
      </c>
      <c r="G6" s="14"/>
    </row>
    <row r="7" spans="1:8" ht="14.25" customHeight="1" x14ac:dyDescent="0.3">
      <c r="A7" s="12">
        <v>2022</v>
      </c>
      <c r="B7" s="13">
        <f>'01_LOreal_Data'!B6</f>
        <v>38260.6</v>
      </c>
      <c r="C7" s="14">
        <f>'01_LOreal_Data'!C6</f>
        <v>0.18499361984167306</v>
      </c>
      <c r="D7" s="14">
        <f>'01_LOreal_Data'!D6</f>
        <v>0.109</v>
      </c>
      <c r="E7" s="14">
        <f>'01_LOreal_Data'!G6</f>
        <v>8.8999999999999996E-2</v>
      </c>
      <c r="F7" s="14">
        <f>'01_LOreal_Data'!F6</f>
        <v>0.28000000000000003</v>
      </c>
      <c r="G7" s="14">
        <f>F7-F6</f>
        <v>-8.9999999999999525E-3</v>
      </c>
    </row>
    <row r="8" spans="1:8" ht="14.25" customHeight="1" x14ac:dyDescent="0.3">
      <c r="A8" s="12">
        <v>2023</v>
      </c>
      <c r="B8" s="13">
        <f>'01_LOreal_Data'!B7</f>
        <v>41182.5</v>
      </c>
      <c r="C8" s="14">
        <f>'01_LOreal_Data'!C7</f>
        <v>7.63683789590337E-2</v>
      </c>
      <c r="D8" s="14">
        <f>'01_LOreal_Data'!D7</f>
        <v>0.11</v>
      </c>
      <c r="E8" s="14">
        <f>'01_LOreal_Data'!G7</f>
        <v>9.5000000000000001E-2</v>
      </c>
      <c r="F8" s="14">
        <f>'01_LOreal_Data'!F7</f>
        <v>0.27</v>
      </c>
      <c r="G8" s="14">
        <f>F8-F7</f>
        <v>-1.0000000000000009E-2</v>
      </c>
    </row>
    <row r="9" spans="1:8" ht="14.25" customHeight="1" x14ac:dyDescent="0.3">
      <c r="A9" s="12">
        <v>2024</v>
      </c>
      <c r="B9" s="13">
        <f>'01_LOreal_Data'!B8</f>
        <v>43486.8</v>
      </c>
      <c r="C9" s="14">
        <f>'01_LOreal_Data'!C8</f>
        <v>5.595337825532698E-2</v>
      </c>
      <c r="D9" s="14">
        <f>'01_LOreal_Data'!D8</f>
        <v>5.0999999999999997E-2</v>
      </c>
      <c r="E9" s="14">
        <f>'01_LOreal_Data'!G8</f>
        <v>7.8E-2</v>
      </c>
      <c r="F9" s="14">
        <f>'01_LOreal_Data'!F8</f>
        <v>0.28199999999999997</v>
      </c>
      <c r="G9" s="14">
        <f>F9-F8</f>
        <v>1.1999999999999955E-2</v>
      </c>
    </row>
    <row r="10" spans="1:8" ht="14.25" customHeight="1" x14ac:dyDescent="0.3">
      <c r="A10" s="12">
        <v>2025</v>
      </c>
      <c r="B10" s="13">
        <f>'01_LOreal_Data'!B9</f>
        <v>44052</v>
      </c>
      <c r="C10" s="14">
        <f>'01_LOreal_Data'!C9</f>
        <v>1.29970473798946E-2</v>
      </c>
      <c r="D10" s="14">
        <f>'01_LOreal_Data'!D9</f>
        <v>0.04</v>
      </c>
      <c r="E10" s="14">
        <f>'01_LOreal_Data'!G9</f>
        <v>0.127</v>
      </c>
      <c r="F10" s="14">
        <f>'01_LOreal_Data'!F9</f>
        <v>0.30199999999999999</v>
      </c>
      <c r="G10" s="14">
        <f>F10-F9</f>
        <v>2.0000000000000018E-2</v>
      </c>
      <c r="H10" t="s">
        <v>51</v>
      </c>
    </row>
    <row r="13" spans="1:8" ht="14.25" customHeight="1" x14ac:dyDescent="0.3">
      <c r="A13" s="4" t="s">
        <v>52</v>
      </c>
    </row>
    <row r="14" spans="1:8" ht="30" customHeight="1" x14ac:dyDescent="0.3">
      <c r="A14" s="11" t="s">
        <v>53</v>
      </c>
      <c r="B14" s="11" t="s">
        <v>54</v>
      </c>
      <c r="C14" s="11" t="s">
        <v>55</v>
      </c>
      <c r="D14" s="11" t="s">
        <v>56</v>
      </c>
      <c r="E14" s="11" t="s">
        <v>57</v>
      </c>
      <c r="F14" s="11" t="s">
        <v>58</v>
      </c>
    </row>
    <row r="15" spans="1:8" ht="14.25" customHeight="1" x14ac:dyDescent="0.3">
      <c r="A15" s="12" t="s">
        <v>59</v>
      </c>
      <c r="B15" s="12">
        <v>2021</v>
      </c>
      <c r="C15" s="12">
        <v>2025</v>
      </c>
      <c r="D15" s="13">
        <f>'01_LOreal_Data'!B5</f>
        <v>32287.599999999999</v>
      </c>
      <c r="E15" s="13">
        <f>'01_LOreal_Data'!B9</f>
        <v>44052</v>
      </c>
      <c r="F15" s="15">
        <f>(E15/D15)^(1/(C15-B15))-1</f>
        <v>8.0767973143339722E-2</v>
      </c>
    </row>
    <row r="16" spans="1:8" ht="14.25" customHeight="1" x14ac:dyDescent="0.3">
      <c r="A16" s="12" t="s">
        <v>60</v>
      </c>
      <c r="B16" s="12">
        <v>2021</v>
      </c>
      <c r="C16" s="12">
        <v>2025</v>
      </c>
      <c r="D16" s="13">
        <f>'01_LOreal_Data'!E5</f>
        <v>9300</v>
      </c>
      <c r="E16" s="13">
        <f>'01_LOreal_Data'!E9</f>
        <v>13300</v>
      </c>
      <c r="F16" s="15">
        <f>(E16/D16)^(1/(C16-B16))-1</f>
        <v>9.3558883971438966E-2</v>
      </c>
    </row>
    <row r="18" spans="1:7" ht="42" customHeight="1" x14ac:dyDescent="0.3">
      <c r="A18" s="1" t="s">
        <v>61</v>
      </c>
      <c r="B18" s="1"/>
      <c r="C18" s="1"/>
      <c r="D18" s="1"/>
      <c r="E18" s="1"/>
      <c r="F18" s="1"/>
      <c r="G18" s="1"/>
    </row>
    <row r="20" spans="1:7" ht="14.25" customHeight="1" x14ac:dyDescent="0.3">
      <c r="A20" s="4" t="s">
        <v>62</v>
      </c>
    </row>
    <row r="21" spans="1:7" ht="30" customHeight="1" x14ac:dyDescent="0.3">
      <c r="A21" s="11" t="s">
        <v>36</v>
      </c>
      <c r="B21" s="11" t="s">
        <v>63</v>
      </c>
      <c r="C21" s="11" t="s">
        <v>64</v>
      </c>
      <c r="D21" s="11" t="s">
        <v>65</v>
      </c>
    </row>
    <row r="22" spans="1:7" ht="14.25" customHeight="1" x14ac:dyDescent="0.3">
      <c r="A22" s="12">
        <v>2021</v>
      </c>
      <c r="B22" s="16">
        <f>('01_LOreal_Data'!B5/'01_LOreal_Data'!B5)*100</f>
        <v>100</v>
      </c>
      <c r="C22" s="16">
        <f>('01_LOreal_Data'!E5/'01_LOreal_Data'!E5)*100</f>
        <v>100</v>
      </c>
      <c r="D22" s="16">
        <f>B22-C22</f>
        <v>0</v>
      </c>
    </row>
    <row r="23" spans="1:7" ht="14.25" customHeight="1" x14ac:dyDescent="0.3">
      <c r="A23" s="12">
        <v>2022</v>
      </c>
      <c r="B23" s="16">
        <f>('01_LOreal_Data'!B6/'01_LOreal_Data'!B5)*100</f>
        <v>118.49936198416731</v>
      </c>
      <c r="C23" s="16">
        <f>('01_LOreal_Data'!E6/'01_LOreal_Data'!E5)*100</f>
        <v>116.12903225806453</v>
      </c>
      <c r="D23" s="16">
        <f>B23-C23</f>
        <v>2.3703297261027814</v>
      </c>
    </row>
    <row r="24" spans="1:7" ht="14.25" customHeight="1" x14ac:dyDescent="0.3">
      <c r="A24" s="12">
        <v>2023</v>
      </c>
      <c r="B24" s="16">
        <f>('01_LOreal_Data'!B7/'01_LOreal_Data'!B5)*100</f>
        <v>127.5489661665779</v>
      </c>
      <c r="C24" s="16">
        <f>('01_LOreal_Data'!E7/'01_LOreal_Data'!E5)*100</f>
        <v>120.43010752688173</v>
      </c>
      <c r="D24" s="16">
        <f>B24-C24</f>
        <v>7.1188586396961711</v>
      </c>
    </row>
    <row r="25" spans="1:7" ht="14.25" customHeight="1" x14ac:dyDescent="0.3">
      <c r="A25" s="12">
        <v>2024</v>
      </c>
      <c r="B25" s="16">
        <f>('01_LOreal_Data'!B8/'01_LOreal_Data'!B5)*100</f>
        <v>134.68576171657233</v>
      </c>
      <c r="C25" s="16">
        <f>('01_LOreal_Data'!E8/'01_LOreal_Data'!E5)*100</f>
        <v>132.25806451612902</v>
      </c>
      <c r="D25" s="16">
        <f>B25-C25</f>
        <v>2.4276972004433048</v>
      </c>
    </row>
    <row r="26" spans="1:7" ht="14.25" customHeight="1" x14ac:dyDescent="0.3">
      <c r="A26" s="12">
        <v>2025</v>
      </c>
      <c r="B26" s="16">
        <f>('01_LOreal_Data'!B9/'01_LOreal_Data'!B5)*100</f>
        <v>136.43627894299979</v>
      </c>
      <c r="C26" s="16">
        <f>('01_LOreal_Data'!E9/'01_LOreal_Data'!E5)*100</f>
        <v>143.01075268817206</v>
      </c>
      <c r="D26" s="16">
        <f>B26-C26</f>
        <v>-6.5744737451722699</v>
      </c>
    </row>
    <row r="28" spans="1:7" ht="42" customHeight="1" x14ac:dyDescent="0.3">
      <c r="A28" s="1" t="s">
        <v>66</v>
      </c>
      <c r="B28" s="1"/>
      <c r="C28" s="1"/>
      <c r="D28" s="1"/>
      <c r="E28" s="1"/>
      <c r="F28" s="1"/>
      <c r="G28" s="1"/>
    </row>
  </sheetData>
  <mergeCells count="4">
    <mergeCell ref="A1:F1"/>
    <mergeCell ref="A2:F2"/>
    <mergeCell ref="A18:G18"/>
    <mergeCell ref="A28:G2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7280"/>
  </sheetPr>
  <dimension ref="A1:F10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0" customWidth="1"/>
    <col min="2" max="2" width="18" customWidth="1"/>
    <col min="3" max="3" width="12" customWidth="1"/>
    <col min="4" max="4" width="16" customWidth="1"/>
  </cols>
  <sheetData>
    <row r="1" spans="1:6" ht="30" customHeight="1" x14ac:dyDescent="0.45">
      <c r="A1" s="3" t="s">
        <v>67</v>
      </c>
      <c r="B1" s="3"/>
      <c r="C1" s="3"/>
      <c r="D1" s="3"/>
      <c r="E1" s="3"/>
      <c r="F1" s="3"/>
    </row>
    <row r="2" spans="1:6" ht="33.75" customHeight="1" x14ac:dyDescent="0.3">
      <c r="A2" s="2" t="s">
        <v>68</v>
      </c>
      <c r="B2" s="2"/>
      <c r="C2" s="2"/>
      <c r="D2" s="2"/>
      <c r="E2" s="2"/>
      <c r="F2" s="2"/>
    </row>
    <row r="4" spans="1:6" ht="30" customHeight="1" x14ac:dyDescent="0.3">
      <c r="A4" s="7" t="s">
        <v>69</v>
      </c>
      <c r="B4" s="7" t="s">
        <v>70</v>
      </c>
      <c r="C4" s="7" t="s">
        <v>36</v>
      </c>
    </row>
    <row r="5" spans="1:6" ht="14.25" customHeight="1" x14ac:dyDescent="0.3">
      <c r="A5" s="17">
        <v>43466</v>
      </c>
      <c r="B5" s="18">
        <v>28419</v>
      </c>
      <c r="C5" s="8">
        <v>2019</v>
      </c>
    </row>
    <row r="6" spans="1:6" ht="14.25" customHeight="1" x14ac:dyDescent="0.3">
      <c r="A6" s="17">
        <v>43497</v>
      </c>
      <c r="B6" s="18">
        <v>28763</v>
      </c>
      <c r="C6" s="8">
        <v>2019</v>
      </c>
    </row>
    <row r="7" spans="1:6" ht="14.25" customHeight="1" x14ac:dyDescent="0.3">
      <c r="A7" s="17">
        <v>43525</v>
      </c>
      <c r="B7" s="18">
        <v>28653</v>
      </c>
      <c r="C7" s="8">
        <v>2019</v>
      </c>
    </row>
    <row r="8" spans="1:6" ht="14.25" customHeight="1" x14ac:dyDescent="0.3">
      <c r="A8" s="17">
        <v>43556</v>
      </c>
      <c r="B8" s="18">
        <v>28584</v>
      </c>
      <c r="C8" s="8">
        <v>2019</v>
      </c>
    </row>
    <row r="9" spans="1:6" ht="14.25" customHeight="1" x14ac:dyDescent="0.3">
      <c r="A9" s="17">
        <v>43586</v>
      </c>
      <c r="B9" s="18">
        <v>28791</v>
      </c>
      <c r="C9" s="8">
        <v>2019</v>
      </c>
    </row>
    <row r="10" spans="1:6" ht="14.25" customHeight="1" x14ac:dyDescent="0.3">
      <c r="A10" s="17">
        <v>43617</v>
      </c>
      <c r="B10" s="18">
        <v>28636</v>
      </c>
      <c r="C10" s="8">
        <v>2019</v>
      </c>
    </row>
    <row r="11" spans="1:6" ht="14.25" customHeight="1" x14ac:dyDescent="0.3">
      <c r="A11" s="17">
        <v>43647</v>
      </c>
      <c r="B11" s="18">
        <v>28497</v>
      </c>
      <c r="C11" s="8">
        <v>2019</v>
      </c>
    </row>
    <row r="12" spans="1:6" ht="14.25" customHeight="1" x14ac:dyDescent="0.3">
      <c r="A12" s="17">
        <v>43678</v>
      </c>
      <c r="B12" s="18">
        <v>28493</v>
      </c>
      <c r="C12" s="8">
        <v>2019</v>
      </c>
    </row>
    <row r="13" spans="1:6" ht="14.25" customHeight="1" x14ac:dyDescent="0.3">
      <c r="A13" s="17">
        <v>43709</v>
      </c>
      <c r="B13" s="18">
        <v>28425</v>
      </c>
      <c r="C13" s="8">
        <v>2019</v>
      </c>
    </row>
    <row r="14" spans="1:6" ht="14.25" customHeight="1" x14ac:dyDescent="0.3">
      <c r="A14" s="17">
        <v>43739</v>
      </c>
      <c r="B14" s="18">
        <v>28704</v>
      </c>
      <c r="C14" s="8">
        <v>2019</v>
      </c>
    </row>
    <row r="15" spans="1:6" ht="14.25" customHeight="1" x14ac:dyDescent="0.3">
      <c r="A15" s="17">
        <v>43770</v>
      </c>
      <c r="B15" s="18">
        <v>28465</v>
      </c>
      <c r="C15" s="8">
        <v>2019</v>
      </c>
    </row>
    <row r="16" spans="1:6" ht="14.25" customHeight="1" x14ac:dyDescent="0.3">
      <c r="A16" s="17">
        <v>43800</v>
      </c>
      <c r="B16" s="18">
        <v>28126</v>
      </c>
      <c r="C16" s="8">
        <v>2019</v>
      </c>
    </row>
    <row r="17" spans="1:3" ht="14.25" customHeight="1" x14ac:dyDescent="0.3">
      <c r="A17" s="17">
        <v>43831</v>
      </c>
      <c r="B17" s="18">
        <v>28935</v>
      </c>
      <c r="C17" s="8">
        <v>2020</v>
      </c>
    </row>
    <row r="18" spans="1:3" ht="14.25" customHeight="1" x14ac:dyDescent="0.3">
      <c r="A18" s="17">
        <v>43862</v>
      </c>
      <c r="B18" s="18">
        <v>29230</v>
      </c>
      <c r="C18" s="8">
        <v>2020</v>
      </c>
    </row>
    <row r="19" spans="1:3" ht="14.25" customHeight="1" x14ac:dyDescent="0.3">
      <c r="A19" s="17">
        <v>43891</v>
      </c>
      <c r="B19" s="18">
        <v>30701</v>
      </c>
      <c r="C19" s="8">
        <v>2020</v>
      </c>
    </row>
    <row r="20" spans="1:3" ht="14.25" customHeight="1" x14ac:dyDescent="0.3">
      <c r="A20" s="17">
        <v>43922</v>
      </c>
      <c r="B20" s="18">
        <v>26149</v>
      </c>
      <c r="C20" s="8">
        <v>2020</v>
      </c>
    </row>
    <row r="21" spans="1:3" ht="14.25" customHeight="1" x14ac:dyDescent="0.3">
      <c r="A21" s="17">
        <v>43952</v>
      </c>
      <c r="B21" s="18">
        <v>26601</v>
      </c>
      <c r="C21" s="8">
        <v>2020</v>
      </c>
    </row>
    <row r="22" spans="1:3" ht="14.25" customHeight="1" x14ac:dyDescent="0.3">
      <c r="A22" s="17">
        <v>43983</v>
      </c>
      <c r="B22" s="18">
        <v>28472</v>
      </c>
      <c r="C22" s="8">
        <v>2020</v>
      </c>
    </row>
    <row r="23" spans="1:3" ht="14.25" customHeight="1" x14ac:dyDescent="0.3">
      <c r="A23" s="17">
        <v>44013</v>
      </c>
      <c r="B23" s="18">
        <v>30081</v>
      </c>
      <c r="C23" s="8">
        <v>2020</v>
      </c>
    </row>
    <row r="24" spans="1:3" ht="14.25" customHeight="1" x14ac:dyDescent="0.3">
      <c r="A24" s="17">
        <v>44044</v>
      </c>
      <c r="B24" s="18">
        <v>29524</v>
      </c>
      <c r="C24" s="8">
        <v>2020</v>
      </c>
    </row>
    <row r="25" spans="1:3" ht="14.25" customHeight="1" x14ac:dyDescent="0.3">
      <c r="A25" s="17">
        <v>44075</v>
      </c>
      <c r="B25" s="18">
        <v>30012</v>
      </c>
      <c r="C25" s="8">
        <v>2020</v>
      </c>
    </row>
    <row r="26" spans="1:3" ht="14.25" customHeight="1" x14ac:dyDescent="0.3">
      <c r="A26" s="17">
        <v>44105</v>
      </c>
      <c r="B26" s="18">
        <v>29987</v>
      </c>
      <c r="C26" s="8">
        <v>2020</v>
      </c>
    </row>
    <row r="27" spans="1:3" ht="14.25" customHeight="1" x14ac:dyDescent="0.3">
      <c r="A27" s="17">
        <v>44136</v>
      </c>
      <c r="B27" s="18">
        <v>29583</v>
      </c>
      <c r="C27" s="8">
        <v>2020</v>
      </c>
    </row>
    <row r="28" spans="1:3" ht="14.25" customHeight="1" x14ac:dyDescent="0.3">
      <c r="A28" s="17">
        <v>44166</v>
      </c>
      <c r="B28" s="18">
        <v>29717</v>
      </c>
      <c r="C28" s="8">
        <v>2020</v>
      </c>
    </row>
    <row r="29" spans="1:3" ht="14.25" customHeight="1" x14ac:dyDescent="0.3">
      <c r="A29" s="17">
        <v>44197</v>
      </c>
      <c r="B29" s="18">
        <v>29812</v>
      </c>
      <c r="C29" s="8">
        <v>2021</v>
      </c>
    </row>
    <row r="30" spans="1:3" ht="14.25" customHeight="1" x14ac:dyDescent="0.3">
      <c r="A30" s="17">
        <v>44228</v>
      </c>
      <c r="B30" s="18">
        <v>29636</v>
      </c>
      <c r="C30" s="8">
        <v>2021</v>
      </c>
    </row>
    <row r="31" spans="1:3" ht="14.25" customHeight="1" x14ac:dyDescent="0.3">
      <c r="A31" s="17">
        <v>44256</v>
      </c>
      <c r="B31" s="18">
        <v>32090</v>
      </c>
      <c r="C31" s="8">
        <v>2021</v>
      </c>
    </row>
    <row r="32" spans="1:3" ht="14.25" customHeight="1" x14ac:dyDescent="0.3">
      <c r="A32" s="17">
        <v>44287</v>
      </c>
      <c r="B32" s="18">
        <v>31957</v>
      </c>
      <c r="C32" s="8">
        <v>2021</v>
      </c>
    </row>
    <row r="33" spans="1:3" ht="14.25" customHeight="1" x14ac:dyDescent="0.3">
      <c r="A33" s="17">
        <v>44317</v>
      </c>
      <c r="B33" s="18">
        <v>31321</v>
      </c>
      <c r="C33" s="8">
        <v>2021</v>
      </c>
    </row>
    <row r="34" spans="1:3" ht="14.25" customHeight="1" x14ac:dyDescent="0.3">
      <c r="A34" s="17">
        <v>44348</v>
      </c>
      <c r="B34" s="18">
        <v>32334</v>
      </c>
      <c r="C34" s="8">
        <v>2021</v>
      </c>
    </row>
    <row r="35" spans="1:3" ht="14.25" customHeight="1" x14ac:dyDescent="0.3">
      <c r="A35" s="17">
        <v>44378</v>
      </c>
      <c r="B35" s="18">
        <v>32225</v>
      </c>
      <c r="C35" s="8">
        <v>2021</v>
      </c>
    </row>
    <row r="36" spans="1:3" ht="14.25" customHeight="1" x14ac:dyDescent="0.3">
      <c r="A36" s="17">
        <v>44409</v>
      </c>
      <c r="B36" s="18">
        <v>32429</v>
      </c>
      <c r="C36" s="8">
        <v>2021</v>
      </c>
    </row>
    <row r="37" spans="1:3" ht="14.25" customHeight="1" x14ac:dyDescent="0.3">
      <c r="A37" s="17">
        <v>44440</v>
      </c>
      <c r="B37" s="18">
        <v>32183</v>
      </c>
      <c r="C37" s="8">
        <v>2021</v>
      </c>
    </row>
    <row r="38" spans="1:3" ht="14.25" customHeight="1" x14ac:dyDescent="0.3">
      <c r="A38" s="17">
        <v>44470</v>
      </c>
      <c r="B38" s="18">
        <v>32099</v>
      </c>
      <c r="C38" s="8">
        <v>2021</v>
      </c>
    </row>
    <row r="39" spans="1:3" ht="14.25" customHeight="1" x14ac:dyDescent="0.3">
      <c r="A39" s="17">
        <v>44501</v>
      </c>
      <c r="B39" s="18">
        <v>32490</v>
      </c>
      <c r="C39" s="8">
        <v>2021</v>
      </c>
    </row>
    <row r="40" spans="1:3" ht="14.25" customHeight="1" x14ac:dyDescent="0.3">
      <c r="A40" s="17">
        <v>44531</v>
      </c>
      <c r="B40" s="18">
        <v>32390</v>
      </c>
      <c r="C40" s="8">
        <v>2021</v>
      </c>
    </row>
    <row r="41" spans="1:3" ht="14.25" customHeight="1" x14ac:dyDescent="0.3">
      <c r="A41" s="17">
        <v>44562</v>
      </c>
      <c r="B41" s="18">
        <v>32664</v>
      </c>
      <c r="C41" s="8">
        <v>2022</v>
      </c>
    </row>
    <row r="42" spans="1:3" ht="14.25" customHeight="1" x14ac:dyDescent="0.3">
      <c r="A42" s="17">
        <v>44593</v>
      </c>
      <c r="B42" s="18">
        <v>32416</v>
      </c>
      <c r="C42" s="8">
        <v>2022</v>
      </c>
    </row>
    <row r="43" spans="1:3" ht="14.25" customHeight="1" x14ac:dyDescent="0.3">
      <c r="A43" s="17">
        <v>44621</v>
      </c>
      <c r="B43" s="18">
        <v>32553</v>
      </c>
      <c r="C43" s="8">
        <v>2022</v>
      </c>
    </row>
    <row r="44" spans="1:3" ht="14.25" customHeight="1" x14ac:dyDescent="0.3">
      <c r="A44" s="17">
        <v>44652</v>
      </c>
      <c r="B44" s="18">
        <v>32838</v>
      </c>
      <c r="C44" s="8">
        <v>2022</v>
      </c>
    </row>
    <row r="45" spans="1:3" ht="14.25" customHeight="1" x14ac:dyDescent="0.3">
      <c r="A45" s="17">
        <v>44682</v>
      </c>
      <c r="B45" s="18">
        <v>32656</v>
      </c>
      <c r="C45" s="8">
        <v>2022</v>
      </c>
    </row>
    <row r="46" spans="1:3" ht="14.25" customHeight="1" x14ac:dyDescent="0.3">
      <c r="A46" s="17">
        <v>44713</v>
      </c>
      <c r="B46" s="18">
        <v>33212</v>
      </c>
      <c r="C46" s="8">
        <v>2022</v>
      </c>
    </row>
    <row r="47" spans="1:3" ht="14.25" customHeight="1" x14ac:dyDescent="0.3">
      <c r="A47" s="17">
        <v>44743</v>
      </c>
      <c r="B47" s="18">
        <v>33431</v>
      </c>
      <c r="C47" s="8">
        <v>2022</v>
      </c>
    </row>
    <row r="48" spans="1:3" ht="14.25" customHeight="1" x14ac:dyDescent="0.3">
      <c r="A48" s="17">
        <v>44774</v>
      </c>
      <c r="B48" s="18">
        <v>33318</v>
      </c>
      <c r="C48" s="8">
        <v>2022</v>
      </c>
    </row>
    <row r="49" spans="1:3" ht="14.25" customHeight="1" x14ac:dyDescent="0.3">
      <c r="A49" s="17">
        <v>44805</v>
      </c>
      <c r="B49" s="18">
        <v>33529</v>
      </c>
      <c r="C49" s="8">
        <v>2022</v>
      </c>
    </row>
    <row r="50" spans="1:3" ht="14.25" customHeight="1" x14ac:dyDescent="0.3">
      <c r="A50" s="17">
        <v>44835</v>
      </c>
      <c r="B50" s="18">
        <v>33673</v>
      </c>
      <c r="C50" s="8">
        <v>2022</v>
      </c>
    </row>
    <row r="51" spans="1:3" ht="14.25" customHeight="1" x14ac:dyDescent="0.3">
      <c r="A51" s="17">
        <v>44866</v>
      </c>
      <c r="B51" s="18">
        <v>33896</v>
      </c>
      <c r="C51" s="8">
        <v>2022</v>
      </c>
    </row>
    <row r="52" spans="1:3" ht="14.25" customHeight="1" x14ac:dyDescent="0.3">
      <c r="A52" s="17">
        <v>44896</v>
      </c>
      <c r="B52" s="18">
        <v>33098</v>
      </c>
      <c r="C52" s="8">
        <v>2022</v>
      </c>
    </row>
    <row r="53" spans="1:3" ht="14.25" customHeight="1" x14ac:dyDescent="0.3">
      <c r="A53" s="17">
        <v>44927</v>
      </c>
      <c r="B53" s="18">
        <v>34603</v>
      </c>
      <c r="C53" s="8">
        <v>2023</v>
      </c>
    </row>
    <row r="54" spans="1:3" ht="14.25" customHeight="1" x14ac:dyDescent="0.3">
      <c r="A54" s="17">
        <v>44958</v>
      </c>
      <c r="B54" s="18">
        <v>35070</v>
      </c>
      <c r="C54" s="8">
        <v>2023</v>
      </c>
    </row>
    <row r="55" spans="1:3" ht="14.25" customHeight="1" x14ac:dyDescent="0.3">
      <c r="A55" s="17">
        <v>44986</v>
      </c>
      <c r="B55" s="18">
        <v>35207</v>
      </c>
      <c r="C55" s="8">
        <v>2023</v>
      </c>
    </row>
    <row r="56" spans="1:3" ht="14.25" customHeight="1" x14ac:dyDescent="0.3">
      <c r="A56" s="17">
        <v>45017</v>
      </c>
      <c r="B56" s="18">
        <v>35493</v>
      </c>
      <c r="C56" s="8">
        <v>2023</v>
      </c>
    </row>
    <row r="57" spans="1:3" ht="14.25" customHeight="1" x14ac:dyDescent="0.3">
      <c r="A57" s="17">
        <v>45047</v>
      </c>
      <c r="B57" s="18">
        <v>35745</v>
      </c>
      <c r="C57" s="8">
        <v>2023</v>
      </c>
    </row>
    <row r="58" spans="1:3" ht="14.25" customHeight="1" x14ac:dyDescent="0.3">
      <c r="A58" s="17">
        <v>45078</v>
      </c>
      <c r="B58" s="18">
        <v>35734</v>
      </c>
      <c r="C58" s="8">
        <v>2023</v>
      </c>
    </row>
    <row r="59" spans="1:3" ht="14.25" customHeight="1" x14ac:dyDescent="0.3">
      <c r="A59" s="17">
        <v>45108</v>
      </c>
      <c r="B59" s="18">
        <v>35455</v>
      </c>
      <c r="C59" s="8">
        <v>2023</v>
      </c>
    </row>
    <row r="60" spans="1:3" ht="14.25" customHeight="1" x14ac:dyDescent="0.3">
      <c r="A60" s="17">
        <v>45139</v>
      </c>
      <c r="B60" s="18">
        <v>36097</v>
      </c>
      <c r="C60" s="8">
        <v>2023</v>
      </c>
    </row>
    <row r="61" spans="1:3" ht="14.25" customHeight="1" x14ac:dyDescent="0.3">
      <c r="A61" s="17">
        <v>45170</v>
      </c>
      <c r="B61" s="18">
        <v>36011</v>
      </c>
      <c r="C61" s="8">
        <v>2023</v>
      </c>
    </row>
    <row r="62" spans="1:3" ht="14.25" customHeight="1" x14ac:dyDescent="0.3">
      <c r="A62" s="17">
        <v>45200</v>
      </c>
      <c r="B62" s="18">
        <v>37298</v>
      </c>
      <c r="C62" s="8">
        <v>2023</v>
      </c>
    </row>
    <row r="63" spans="1:3" ht="14.25" customHeight="1" x14ac:dyDescent="0.3">
      <c r="A63" s="17">
        <v>45231</v>
      </c>
      <c r="B63" s="18">
        <v>37150</v>
      </c>
      <c r="C63" s="8">
        <v>2023</v>
      </c>
    </row>
    <row r="64" spans="1:3" ht="14.25" customHeight="1" x14ac:dyDescent="0.3">
      <c r="A64" s="17">
        <v>45261</v>
      </c>
      <c r="B64" s="18">
        <v>36210</v>
      </c>
      <c r="C64" s="8">
        <v>2023</v>
      </c>
    </row>
    <row r="65" spans="1:3" ht="14.25" customHeight="1" x14ac:dyDescent="0.3">
      <c r="A65" s="17">
        <v>45292</v>
      </c>
      <c r="B65" s="18">
        <v>35827</v>
      </c>
      <c r="C65" s="8">
        <v>2024</v>
      </c>
    </row>
    <row r="66" spans="1:3" ht="14.25" customHeight="1" x14ac:dyDescent="0.3">
      <c r="A66" s="17">
        <v>45323</v>
      </c>
      <c r="B66" s="18">
        <v>35765</v>
      </c>
      <c r="C66" s="8">
        <v>2024</v>
      </c>
    </row>
    <row r="67" spans="1:3" ht="14.25" customHeight="1" x14ac:dyDescent="0.3">
      <c r="A67" s="17">
        <v>45352</v>
      </c>
      <c r="B67" s="18">
        <v>35624</v>
      </c>
      <c r="C67" s="8">
        <v>2024</v>
      </c>
    </row>
    <row r="68" spans="1:3" ht="14.25" customHeight="1" x14ac:dyDescent="0.3">
      <c r="A68" s="17">
        <v>45383</v>
      </c>
      <c r="B68" s="18">
        <v>35778</v>
      </c>
      <c r="C68" s="8">
        <v>2024</v>
      </c>
    </row>
    <row r="69" spans="1:3" ht="14.25" customHeight="1" x14ac:dyDescent="0.3">
      <c r="A69" s="17">
        <v>45413</v>
      </c>
      <c r="B69" s="18">
        <v>36028</v>
      </c>
      <c r="C69" s="8">
        <v>2024</v>
      </c>
    </row>
    <row r="70" spans="1:3" ht="14.25" customHeight="1" x14ac:dyDescent="0.3">
      <c r="A70" s="17">
        <v>45444</v>
      </c>
      <c r="B70" s="18">
        <v>36021</v>
      </c>
      <c r="C70" s="8">
        <v>2024</v>
      </c>
    </row>
    <row r="71" spans="1:3" ht="14.25" customHeight="1" x14ac:dyDescent="0.3">
      <c r="A71" s="17">
        <v>45474</v>
      </c>
      <c r="B71" s="18">
        <v>37535</v>
      </c>
      <c r="C71" s="8">
        <v>2024</v>
      </c>
    </row>
    <row r="72" spans="1:3" ht="14.25" customHeight="1" x14ac:dyDescent="0.3">
      <c r="A72" s="17">
        <v>45505</v>
      </c>
      <c r="B72" s="18">
        <v>37678</v>
      </c>
      <c r="C72" s="8">
        <v>2024</v>
      </c>
    </row>
    <row r="73" spans="1:3" ht="14.25" customHeight="1" x14ac:dyDescent="0.3">
      <c r="A73" s="17">
        <v>45536</v>
      </c>
      <c r="B73" s="18">
        <v>38360</v>
      </c>
      <c r="C73" s="8">
        <v>2024</v>
      </c>
    </row>
    <row r="74" spans="1:3" ht="14.25" customHeight="1" x14ac:dyDescent="0.3">
      <c r="A74" s="17">
        <v>45566</v>
      </c>
      <c r="B74" s="18">
        <v>38196</v>
      </c>
      <c r="C74" s="8">
        <v>2024</v>
      </c>
    </row>
    <row r="75" spans="1:3" ht="14.25" customHeight="1" x14ac:dyDescent="0.3">
      <c r="A75" s="17">
        <v>45597</v>
      </c>
      <c r="B75" s="18">
        <v>38085</v>
      </c>
      <c r="C75" s="8">
        <v>2024</v>
      </c>
    </row>
    <row r="76" spans="1:3" ht="14.25" customHeight="1" x14ac:dyDescent="0.3">
      <c r="A76" s="17">
        <v>45627</v>
      </c>
      <c r="B76" s="18">
        <v>37831</v>
      </c>
      <c r="C76" s="8">
        <v>2024</v>
      </c>
    </row>
    <row r="77" spans="1:3" ht="14.25" customHeight="1" x14ac:dyDescent="0.3">
      <c r="A77" s="17">
        <v>45658</v>
      </c>
      <c r="B77" s="18">
        <v>37806</v>
      </c>
      <c r="C77" s="8">
        <v>2025</v>
      </c>
    </row>
    <row r="78" spans="1:3" ht="14.25" customHeight="1" x14ac:dyDescent="0.3">
      <c r="A78" s="17">
        <v>45689</v>
      </c>
      <c r="B78" s="18">
        <v>38865</v>
      </c>
      <c r="C78" s="8">
        <v>2025</v>
      </c>
    </row>
    <row r="79" spans="1:3" ht="14.25" customHeight="1" x14ac:dyDescent="0.3">
      <c r="A79" s="17">
        <v>45717</v>
      </c>
      <c r="B79" s="18">
        <v>39145</v>
      </c>
      <c r="C79" s="8">
        <v>2025</v>
      </c>
    </row>
    <row r="80" spans="1:3" ht="14.25" customHeight="1" x14ac:dyDescent="0.3">
      <c r="A80" s="17">
        <v>45748</v>
      </c>
      <c r="B80" s="18">
        <v>39198</v>
      </c>
      <c r="C80" s="8">
        <v>2025</v>
      </c>
    </row>
    <row r="81" spans="1:3" ht="14.25" customHeight="1" x14ac:dyDescent="0.3">
      <c r="A81" s="17">
        <v>45778</v>
      </c>
      <c r="B81" s="18">
        <v>39143</v>
      </c>
      <c r="C81" s="8">
        <v>2025</v>
      </c>
    </row>
    <row r="82" spans="1:3" ht="14.25" customHeight="1" x14ac:dyDescent="0.3">
      <c r="A82" s="17">
        <v>45809</v>
      </c>
      <c r="B82" s="18">
        <v>39799</v>
      </c>
      <c r="C82" s="8">
        <v>2025</v>
      </c>
    </row>
    <row r="83" spans="1:3" ht="14.25" customHeight="1" x14ac:dyDescent="0.3">
      <c r="A83" s="17">
        <v>45839</v>
      </c>
      <c r="B83" s="18">
        <v>40061</v>
      </c>
      <c r="C83" s="8">
        <v>2025</v>
      </c>
    </row>
    <row r="84" spans="1:3" ht="14.25" customHeight="1" x14ac:dyDescent="0.3">
      <c r="A84" s="17">
        <v>45870</v>
      </c>
      <c r="B84" s="18">
        <v>40118</v>
      </c>
      <c r="C84" s="8">
        <v>2025</v>
      </c>
    </row>
    <row r="85" spans="1:3" ht="14.25" customHeight="1" x14ac:dyDescent="0.3">
      <c r="A85" s="17">
        <v>45901</v>
      </c>
      <c r="B85" s="18">
        <v>40637</v>
      </c>
      <c r="C85" s="8">
        <v>2025</v>
      </c>
    </row>
    <row r="86" spans="1:3" ht="14.25" customHeight="1" x14ac:dyDescent="0.3">
      <c r="A86" s="17">
        <v>45931</v>
      </c>
      <c r="B86" s="18">
        <v>40456</v>
      </c>
      <c r="C86" s="8">
        <v>2025</v>
      </c>
    </row>
    <row r="87" spans="1:3" ht="14.25" customHeight="1" x14ac:dyDescent="0.3">
      <c r="A87" s="17">
        <v>45962</v>
      </c>
      <c r="B87" s="18">
        <v>40222</v>
      </c>
      <c r="C87" s="8">
        <v>2025</v>
      </c>
    </row>
    <row r="88" spans="1:3" ht="14.25" customHeight="1" x14ac:dyDescent="0.3">
      <c r="A88" s="17">
        <v>45992</v>
      </c>
      <c r="B88" s="18">
        <v>40119</v>
      </c>
      <c r="C88" s="8">
        <v>2025</v>
      </c>
    </row>
    <row r="89" spans="1:3" ht="14.25" customHeight="1" x14ac:dyDescent="0.3">
      <c r="A89" s="17">
        <v>46023</v>
      </c>
      <c r="B89" s="18">
        <v>38913</v>
      </c>
      <c r="C89" s="8">
        <v>2026</v>
      </c>
    </row>
    <row r="90" spans="1:3" ht="14.25" customHeight="1" x14ac:dyDescent="0.3">
      <c r="A90" s="17">
        <v>46054</v>
      </c>
      <c r="B90" s="18">
        <v>39681</v>
      </c>
      <c r="C90" s="8">
        <v>2026</v>
      </c>
    </row>
    <row r="91" spans="1:3" ht="14.25" customHeight="1" x14ac:dyDescent="0.3">
      <c r="A91" s="17">
        <v>46082</v>
      </c>
      <c r="B91" s="18">
        <v>40178</v>
      </c>
      <c r="C91" s="8">
        <v>2026</v>
      </c>
    </row>
    <row r="92" spans="1:3" ht="14.25" customHeight="1" x14ac:dyDescent="0.3">
      <c r="A92" s="17">
        <v>46113</v>
      </c>
      <c r="B92" s="18">
        <v>40086</v>
      </c>
      <c r="C92" s="8">
        <v>2026</v>
      </c>
    </row>
    <row r="93" spans="1:3" ht="14.25" customHeight="1" x14ac:dyDescent="0.3">
      <c r="A93" s="17">
        <v>46143</v>
      </c>
      <c r="B93" s="18">
        <v>40372</v>
      </c>
      <c r="C93" s="8">
        <v>2026</v>
      </c>
    </row>
    <row r="94" spans="1:3" ht="14.25" customHeight="1" x14ac:dyDescent="0.3">
      <c r="A94" s="17">
        <v>46174</v>
      </c>
      <c r="B94" s="18">
        <v>40224</v>
      </c>
      <c r="C94" s="8">
        <v>2026</v>
      </c>
    </row>
    <row r="97" spans="1:6" ht="14.25" customHeight="1" x14ac:dyDescent="0.3">
      <c r="A97" s="4" t="s">
        <v>71</v>
      </c>
    </row>
    <row r="98" spans="1:6" ht="30" customHeight="1" x14ac:dyDescent="0.3">
      <c r="A98" s="7" t="s">
        <v>36</v>
      </c>
      <c r="B98" s="7" t="s">
        <v>72</v>
      </c>
      <c r="C98" s="7" t="s">
        <v>73</v>
      </c>
      <c r="D98" s="7" t="s">
        <v>74</v>
      </c>
    </row>
    <row r="99" spans="1:6" ht="14.25" customHeight="1" x14ac:dyDescent="0.3">
      <c r="A99" s="8">
        <v>2021</v>
      </c>
      <c r="B99" s="18">
        <f>SUMIFS($B$5:$B$94,$C$5:$C$94,A99)</f>
        <v>380966</v>
      </c>
      <c r="C99" s="18">
        <f>AVERAGEIFS($B$5:$B$94,$C$5:$C$94,A99)</f>
        <v>31747.166666666668</v>
      </c>
      <c r="D99" s="19"/>
    </row>
    <row r="100" spans="1:6" ht="14.25" customHeight="1" x14ac:dyDescent="0.3">
      <c r="A100" s="8">
        <v>2022</v>
      </c>
      <c r="B100" s="18">
        <f>SUMIFS($B$5:$B$94,$C$5:$C$94,A100)</f>
        <v>397284</v>
      </c>
      <c r="C100" s="18">
        <f>AVERAGEIFS($B$5:$B$94,$C$5:$C$94,A100)</f>
        <v>33107</v>
      </c>
      <c r="D100" s="19">
        <f>(B100/B99)-1</f>
        <v>4.2833218712430954E-2</v>
      </c>
    </row>
    <row r="101" spans="1:6" ht="14.25" customHeight="1" x14ac:dyDescent="0.3">
      <c r="A101" s="8">
        <v>2023</v>
      </c>
      <c r="B101" s="18">
        <f>SUMIFS($B$5:$B$94,$C$5:$C$94,A101)</f>
        <v>430073</v>
      </c>
      <c r="C101" s="18">
        <f>AVERAGEIFS($B$5:$B$94,$C$5:$C$94,A101)</f>
        <v>35839.416666666664</v>
      </c>
      <c r="D101" s="19">
        <f>(B101/B100)-1</f>
        <v>8.2532898380000219E-2</v>
      </c>
    </row>
    <row r="102" spans="1:6" ht="14.25" customHeight="1" x14ac:dyDescent="0.3">
      <c r="A102" s="8">
        <v>2024</v>
      </c>
      <c r="B102" s="18">
        <f>SUMIFS($B$5:$B$94,$C$5:$C$94,A102)</f>
        <v>442728</v>
      </c>
      <c r="C102" s="18">
        <f>AVERAGEIFS($B$5:$B$94,$C$5:$C$94,A102)</f>
        <v>36894</v>
      </c>
      <c r="D102" s="19">
        <f>(B102/B101)-1</f>
        <v>2.9425237110909164E-2</v>
      </c>
    </row>
    <row r="103" spans="1:6" ht="14.25" customHeight="1" x14ac:dyDescent="0.3">
      <c r="A103" s="8">
        <v>2025</v>
      </c>
      <c r="B103" s="18">
        <f>SUMIFS($B$5:$B$94,$C$5:$C$94,A103)</f>
        <v>475569</v>
      </c>
      <c r="C103" s="18">
        <f>AVERAGEIFS($B$5:$B$94,$C$5:$C$94,A103)</f>
        <v>39630.75</v>
      </c>
      <c r="D103" s="19">
        <f>(B103/B102)-1</f>
        <v>7.4178728248495585E-2</v>
      </c>
    </row>
    <row r="106" spans="1:6" ht="42" customHeight="1" x14ac:dyDescent="0.3">
      <c r="A106" s="1" t="s">
        <v>75</v>
      </c>
      <c r="B106" s="1"/>
      <c r="C106" s="1"/>
      <c r="D106" s="1"/>
      <c r="E106" s="1"/>
      <c r="F106" s="1"/>
    </row>
  </sheetData>
  <mergeCells count="3">
    <mergeCell ref="A1:F1"/>
    <mergeCell ref="A2:F2"/>
    <mergeCell ref="A106:F106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B7280"/>
  </sheetPr>
  <dimension ref="A1:G2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7" width="12" customWidth="1"/>
  </cols>
  <sheetData>
    <row r="1" spans="1:7" ht="30" customHeight="1" x14ac:dyDescent="0.45">
      <c r="A1" s="3" t="s">
        <v>76</v>
      </c>
      <c r="B1" s="3"/>
      <c r="C1" s="3"/>
      <c r="D1" s="3"/>
      <c r="E1" s="3"/>
      <c r="F1" s="3"/>
    </row>
    <row r="2" spans="1:7" ht="33.75" customHeight="1" x14ac:dyDescent="0.3">
      <c r="A2" s="2" t="s">
        <v>77</v>
      </c>
      <c r="B2" s="2"/>
      <c r="C2" s="2"/>
      <c r="D2" s="2"/>
      <c r="E2" s="2"/>
      <c r="F2" s="2"/>
    </row>
    <row r="4" spans="1:7" ht="30" customHeight="1" x14ac:dyDescent="0.3">
      <c r="A4" s="7" t="s">
        <v>78</v>
      </c>
      <c r="B4" s="7" t="s">
        <v>79</v>
      </c>
      <c r="C4" s="7" t="s">
        <v>80</v>
      </c>
      <c r="D4" s="7" t="s">
        <v>81</v>
      </c>
      <c r="E4" s="7" t="s">
        <v>82</v>
      </c>
      <c r="F4" s="7" t="s">
        <v>83</v>
      </c>
      <c r="G4" s="7" t="s">
        <v>84</v>
      </c>
    </row>
    <row r="5" spans="1:7" ht="14.25" customHeight="1" x14ac:dyDescent="0.3">
      <c r="A5" s="8" t="s">
        <v>85</v>
      </c>
      <c r="B5" s="20">
        <v>53.76</v>
      </c>
      <c r="C5" s="20">
        <v>56.94</v>
      </c>
      <c r="D5" s="20">
        <v>56.02</v>
      </c>
      <c r="E5" s="20">
        <v>58.06</v>
      </c>
      <c r="F5" s="20">
        <v>60.2</v>
      </c>
      <c r="G5" s="20">
        <v>62.35</v>
      </c>
    </row>
    <row r="6" spans="1:7" ht="14.25" customHeight="1" x14ac:dyDescent="0.3">
      <c r="A6" s="8" t="s">
        <v>86</v>
      </c>
      <c r="B6" s="20">
        <v>75.03</v>
      </c>
      <c r="C6" s="20">
        <v>69</v>
      </c>
      <c r="D6" s="20">
        <v>66.23</v>
      </c>
      <c r="E6" s="20">
        <v>67.52</v>
      </c>
      <c r="F6" s="20">
        <v>66.760000000000005</v>
      </c>
      <c r="G6" s="20">
        <v>70.41</v>
      </c>
    </row>
    <row r="7" spans="1:7" ht="14.25" customHeight="1" x14ac:dyDescent="0.3">
      <c r="A7" s="8" t="s">
        <v>87</v>
      </c>
      <c r="B7" s="20"/>
      <c r="C7" s="20">
        <v>65.599999999999994</v>
      </c>
      <c r="D7" s="20">
        <v>63.48</v>
      </c>
      <c r="E7" s="20">
        <v>65.78</v>
      </c>
      <c r="F7" s="20">
        <v>69.31</v>
      </c>
      <c r="G7" s="20">
        <v>70.31</v>
      </c>
    </row>
    <row r="8" spans="1:7" ht="14.25" customHeight="1" x14ac:dyDescent="0.3">
      <c r="A8" s="8" t="s">
        <v>88</v>
      </c>
      <c r="B8" s="20">
        <v>53.82</v>
      </c>
      <c r="C8" s="20">
        <v>55.22</v>
      </c>
      <c r="D8" s="20">
        <v>55.26</v>
      </c>
      <c r="E8" s="20">
        <v>55.85</v>
      </c>
      <c r="F8" s="20">
        <v>56.7</v>
      </c>
      <c r="G8" s="20">
        <v>59.65</v>
      </c>
    </row>
    <row r="9" spans="1:7" ht="14.25" customHeight="1" x14ac:dyDescent="0.3">
      <c r="A9" s="8" t="s">
        <v>89</v>
      </c>
      <c r="B9" s="20">
        <v>31.42</v>
      </c>
      <c r="C9" s="20">
        <v>39.78</v>
      </c>
      <c r="D9" s="20">
        <v>37.28</v>
      </c>
      <c r="E9" s="20">
        <v>39.19</v>
      </c>
      <c r="F9" s="20">
        <v>41.86</v>
      </c>
      <c r="G9" s="20">
        <v>43.79</v>
      </c>
    </row>
    <row r="12" spans="1:7" ht="14.25" customHeight="1" x14ac:dyDescent="0.3">
      <c r="A12" s="4" t="s">
        <v>90</v>
      </c>
    </row>
    <row r="13" spans="1:7" ht="30" customHeight="1" x14ac:dyDescent="0.3">
      <c r="A13" s="7" t="s">
        <v>78</v>
      </c>
      <c r="B13" s="7" t="s">
        <v>91</v>
      </c>
      <c r="C13" s="7" t="s">
        <v>92</v>
      </c>
      <c r="D13" s="7" t="s">
        <v>93</v>
      </c>
      <c r="E13" s="7" t="s">
        <v>94</v>
      </c>
    </row>
    <row r="14" spans="1:7" ht="14.25" customHeight="1" x14ac:dyDescent="0.3">
      <c r="A14" s="8" t="str">
        <f>A5</f>
        <v>EU-27</v>
      </c>
      <c r="B14" s="20">
        <f t="shared" ref="B14:E15" si="0">C5-B5</f>
        <v>3.1799999999999997</v>
      </c>
      <c r="C14" s="20">
        <f t="shared" si="0"/>
        <v>-0.9199999999999946</v>
      </c>
      <c r="D14" s="20">
        <f t="shared" si="0"/>
        <v>2.0399999999999991</v>
      </c>
      <c r="E14" s="20">
        <f t="shared" si="0"/>
        <v>2.1400000000000006</v>
      </c>
    </row>
    <row r="15" spans="1:7" ht="14.25" customHeight="1" x14ac:dyDescent="0.3">
      <c r="A15" s="8" t="str">
        <f>A6</f>
        <v>Germany</v>
      </c>
      <c r="B15" s="20">
        <f t="shared" si="0"/>
        <v>-6.0300000000000011</v>
      </c>
      <c r="C15" s="20">
        <f t="shared" si="0"/>
        <v>-2.769999999999996</v>
      </c>
      <c r="D15" s="20">
        <f t="shared" si="0"/>
        <v>1.289999999999992</v>
      </c>
      <c r="E15" s="20">
        <f t="shared" si="0"/>
        <v>-0.75999999999999091</v>
      </c>
    </row>
    <row r="16" spans="1:7" ht="14.25" customHeight="1" x14ac:dyDescent="0.3">
      <c r="A16" s="8" t="str">
        <f>A7</f>
        <v>France</v>
      </c>
      <c r="B16" s="20"/>
      <c r="C16" s="20">
        <f t="shared" ref="C16:E18" si="1">D7-C7</f>
        <v>-2.1199999999999974</v>
      </c>
      <c r="D16" s="20">
        <f t="shared" si="1"/>
        <v>2.3000000000000043</v>
      </c>
      <c r="E16" s="20">
        <f t="shared" si="1"/>
        <v>3.5300000000000011</v>
      </c>
    </row>
    <row r="17" spans="1:7" ht="14.25" customHeight="1" x14ac:dyDescent="0.3">
      <c r="A17" s="8" t="str">
        <f>A8</f>
        <v>Spain</v>
      </c>
      <c r="B17" s="20">
        <f>C8-B8</f>
        <v>1.3999999999999986</v>
      </c>
      <c r="C17" s="20">
        <f t="shared" si="1"/>
        <v>3.9999999999999147E-2</v>
      </c>
      <c r="D17" s="20">
        <f t="shared" si="1"/>
        <v>0.59000000000000341</v>
      </c>
      <c r="E17" s="20">
        <f t="shared" si="1"/>
        <v>0.85000000000000142</v>
      </c>
    </row>
    <row r="18" spans="1:7" ht="14.25" customHeight="1" x14ac:dyDescent="0.3">
      <c r="A18" s="8" t="str">
        <f>A9</f>
        <v>Italy</v>
      </c>
      <c r="B18" s="20">
        <f>C9-B9</f>
        <v>8.36</v>
      </c>
      <c r="C18" s="20">
        <f t="shared" si="1"/>
        <v>-2.5</v>
      </c>
      <c r="D18" s="20">
        <f t="shared" si="1"/>
        <v>1.9099999999999966</v>
      </c>
      <c r="E18" s="20">
        <f t="shared" si="1"/>
        <v>2.6700000000000017</v>
      </c>
    </row>
    <row r="20" spans="1:7" ht="42" customHeight="1" x14ac:dyDescent="0.3">
      <c r="A20" s="1" t="s">
        <v>95</v>
      </c>
      <c r="B20" s="1"/>
      <c r="C20" s="1"/>
      <c r="D20" s="1"/>
      <c r="E20" s="1"/>
      <c r="F20" s="1"/>
      <c r="G20" s="1"/>
    </row>
  </sheetData>
  <mergeCells count="3">
    <mergeCell ref="A1:F1"/>
    <mergeCell ref="A2:F2"/>
    <mergeCell ref="A20:G2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7280"/>
  </sheetPr>
  <dimension ref="A1:G2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7" width="12" customWidth="1"/>
  </cols>
  <sheetData>
    <row r="1" spans="1:7" ht="30" customHeight="1" x14ac:dyDescent="0.45">
      <c r="A1" s="3" t="s">
        <v>96</v>
      </c>
      <c r="B1" s="3"/>
      <c r="C1" s="3"/>
      <c r="D1" s="3"/>
      <c r="E1" s="3"/>
      <c r="F1" s="3"/>
    </row>
    <row r="2" spans="1:7" ht="33.75" customHeight="1" x14ac:dyDescent="0.3">
      <c r="A2" s="2" t="s">
        <v>97</v>
      </c>
      <c r="B2" s="2"/>
      <c r="C2" s="2"/>
      <c r="D2" s="2"/>
      <c r="E2" s="2"/>
      <c r="F2" s="2"/>
    </row>
    <row r="4" spans="1:7" ht="30" customHeight="1" x14ac:dyDescent="0.3">
      <c r="A4" s="7" t="s">
        <v>78</v>
      </c>
      <c r="B4" s="7" t="s">
        <v>79</v>
      </c>
      <c r="C4" s="7" t="s">
        <v>80</v>
      </c>
      <c r="D4" s="7" t="s">
        <v>81</v>
      </c>
      <c r="E4" s="7" t="s">
        <v>82</v>
      </c>
      <c r="F4" s="7" t="s">
        <v>83</v>
      </c>
      <c r="G4" s="7" t="s">
        <v>84</v>
      </c>
    </row>
    <row r="5" spans="1:7" ht="14.25" customHeight="1" x14ac:dyDescent="0.3">
      <c r="A5" s="8" t="s">
        <v>85</v>
      </c>
      <c r="B5" s="20">
        <v>14.07</v>
      </c>
      <c r="C5" s="20">
        <v>15.23</v>
      </c>
      <c r="D5" s="20">
        <v>15.6</v>
      </c>
      <c r="E5" s="20">
        <v>16.2</v>
      </c>
      <c r="F5" s="20">
        <v>16.8</v>
      </c>
      <c r="G5" s="20">
        <v>17.170000000000002</v>
      </c>
    </row>
    <row r="6" spans="1:7" ht="14.25" customHeight="1" x14ac:dyDescent="0.3">
      <c r="A6" s="8" t="s">
        <v>86</v>
      </c>
      <c r="B6" s="20">
        <v>12.5</v>
      </c>
      <c r="C6" s="20">
        <v>13.75</v>
      </c>
      <c r="D6" s="20">
        <v>14.56</v>
      </c>
      <c r="E6" s="20">
        <v>15.73</v>
      </c>
      <c r="F6" s="20">
        <v>15.65</v>
      </c>
      <c r="G6" s="20">
        <v>16.420000000000002</v>
      </c>
    </row>
    <row r="7" spans="1:7" ht="14.25" customHeight="1" x14ac:dyDescent="0.3">
      <c r="A7" s="8" t="s">
        <v>87</v>
      </c>
      <c r="B7" s="20">
        <v>11.45</v>
      </c>
      <c r="C7" s="20">
        <v>13.04</v>
      </c>
      <c r="D7" s="20">
        <v>12.29</v>
      </c>
      <c r="E7" s="20">
        <v>13.15</v>
      </c>
      <c r="F7" s="20">
        <v>14.25</v>
      </c>
      <c r="G7" s="20">
        <v>14.45</v>
      </c>
    </row>
    <row r="8" spans="1:7" ht="14.25" customHeight="1" x14ac:dyDescent="0.3">
      <c r="A8" s="8" t="s">
        <v>88</v>
      </c>
      <c r="B8" s="20">
        <v>17.91</v>
      </c>
      <c r="C8" s="20">
        <v>18.170000000000002</v>
      </c>
      <c r="D8" s="20">
        <v>21.05</v>
      </c>
      <c r="E8" s="20">
        <v>21.53</v>
      </c>
      <c r="F8" s="20">
        <v>22.34</v>
      </c>
      <c r="G8" s="20">
        <v>21.1</v>
      </c>
    </row>
    <row r="9" spans="1:7" ht="14.25" customHeight="1" x14ac:dyDescent="0.3">
      <c r="A9" s="8" t="s">
        <v>89</v>
      </c>
      <c r="B9" s="20">
        <v>11.51</v>
      </c>
      <c r="C9" s="20">
        <v>13.99</v>
      </c>
      <c r="D9" s="20">
        <v>13.3</v>
      </c>
      <c r="E9" s="20">
        <v>13.99</v>
      </c>
      <c r="F9" s="20">
        <v>14.24</v>
      </c>
      <c r="G9" s="20">
        <v>15.29</v>
      </c>
    </row>
    <row r="12" spans="1:7" ht="14.25" customHeight="1" x14ac:dyDescent="0.3">
      <c r="A12" s="4" t="s">
        <v>90</v>
      </c>
    </row>
    <row r="13" spans="1:7" ht="30" customHeight="1" x14ac:dyDescent="0.3">
      <c r="A13" s="7" t="s">
        <v>78</v>
      </c>
      <c r="B13" s="7" t="s">
        <v>91</v>
      </c>
      <c r="C13" s="7" t="s">
        <v>92</v>
      </c>
      <c r="D13" s="7" t="s">
        <v>93</v>
      </c>
      <c r="E13" s="7" t="s">
        <v>94</v>
      </c>
      <c r="F13" s="7" t="s">
        <v>98</v>
      </c>
    </row>
    <row r="14" spans="1:7" ht="14.25" customHeight="1" x14ac:dyDescent="0.3">
      <c r="A14" s="8" t="str">
        <f>A5</f>
        <v>EU-27</v>
      </c>
      <c r="B14" s="20">
        <f t="shared" ref="B14:F18" si="0">C5-B5</f>
        <v>1.1600000000000001</v>
      </c>
      <c r="C14" s="20">
        <f t="shared" si="0"/>
        <v>0.36999999999999922</v>
      </c>
      <c r="D14" s="20">
        <f t="shared" si="0"/>
        <v>0.59999999999999964</v>
      </c>
      <c r="E14" s="20">
        <f t="shared" si="0"/>
        <v>0.60000000000000142</v>
      </c>
      <c r="F14" s="20">
        <f t="shared" si="0"/>
        <v>0.37000000000000099</v>
      </c>
    </row>
    <row r="15" spans="1:7" ht="14.25" customHeight="1" x14ac:dyDescent="0.3">
      <c r="A15" s="8" t="str">
        <f>A6</f>
        <v>Germany</v>
      </c>
      <c r="B15" s="20">
        <f t="shared" si="0"/>
        <v>1.25</v>
      </c>
      <c r="C15" s="20">
        <f t="shared" si="0"/>
        <v>0.8100000000000005</v>
      </c>
      <c r="D15" s="20">
        <f t="shared" si="0"/>
        <v>1.17</v>
      </c>
      <c r="E15" s="20">
        <f t="shared" si="0"/>
        <v>-8.0000000000000071E-2</v>
      </c>
      <c r="F15" s="20">
        <f t="shared" si="0"/>
        <v>0.77000000000000135</v>
      </c>
    </row>
    <row r="16" spans="1:7" ht="14.25" customHeight="1" x14ac:dyDescent="0.3">
      <c r="A16" s="8" t="str">
        <f>A7</f>
        <v>France</v>
      </c>
      <c r="B16" s="20">
        <f t="shared" si="0"/>
        <v>1.5899999999999999</v>
      </c>
      <c r="C16" s="20">
        <f t="shared" si="0"/>
        <v>-0.75</v>
      </c>
      <c r="D16" s="20">
        <f t="shared" si="0"/>
        <v>0.86000000000000121</v>
      </c>
      <c r="E16" s="20">
        <f t="shared" si="0"/>
        <v>1.0999999999999996</v>
      </c>
      <c r="F16" s="20">
        <f t="shared" si="0"/>
        <v>0.19999999999999929</v>
      </c>
    </row>
    <row r="17" spans="1:7" ht="14.25" customHeight="1" x14ac:dyDescent="0.3">
      <c r="A17" s="8" t="str">
        <f>A8</f>
        <v>Spain</v>
      </c>
      <c r="B17" s="20">
        <f t="shared" si="0"/>
        <v>0.26000000000000156</v>
      </c>
      <c r="C17" s="20">
        <f t="shared" si="0"/>
        <v>2.879999999999999</v>
      </c>
      <c r="D17" s="20">
        <f t="shared" si="0"/>
        <v>0.48000000000000043</v>
      </c>
      <c r="E17" s="20">
        <f t="shared" si="0"/>
        <v>0.80999999999999872</v>
      </c>
      <c r="F17" s="20">
        <f t="shared" si="0"/>
        <v>-1.2399999999999984</v>
      </c>
    </row>
    <row r="18" spans="1:7" ht="14.25" customHeight="1" x14ac:dyDescent="0.3">
      <c r="A18" s="8" t="str">
        <f>A9</f>
        <v>Italy</v>
      </c>
      <c r="B18" s="20">
        <f t="shared" si="0"/>
        <v>2.4800000000000004</v>
      </c>
      <c r="C18" s="20">
        <f t="shared" si="0"/>
        <v>-0.6899999999999995</v>
      </c>
      <c r="D18" s="20">
        <f t="shared" si="0"/>
        <v>0.6899999999999995</v>
      </c>
      <c r="E18" s="20">
        <f t="shared" si="0"/>
        <v>0.25</v>
      </c>
      <c r="F18" s="20">
        <f t="shared" si="0"/>
        <v>1.0499999999999989</v>
      </c>
    </row>
    <row r="20" spans="1:7" ht="42" customHeight="1" x14ac:dyDescent="0.3">
      <c r="A20" s="1" t="s">
        <v>99</v>
      </c>
      <c r="B20" s="1"/>
      <c r="C20" s="1"/>
      <c r="D20" s="1"/>
      <c r="E20" s="1"/>
      <c r="F20" s="1"/>
      <c r="G20" s="1"/>
    </row>
  </sheetData>
  <mergeCells count="3">
    <mergeCell ref="A1:F1"/>
    <mergeCell ref="A2:F2"/>
    <mergeCell ref="A20:G2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8102E"/>
  </sheetPr>
  <dimension ref="A1:F13"/>
  <sheetViews>
    <sheetView showGridLines="0" zoomScaleNormal="100" workbookViewId="0">
      <selection activeCell="B8" sqref="B8"/>
    </sheetView>
  </sheetViews>
  <sheetFormatPr defaultColWidth="8.6640625" defaultRowHeight="14.4" x14ac:dyDescent="0.3"/>
  <cols>
    <col min="1" max="1" width="12" customWidth="1"/>
    <col min="2" max="2" width="20" customWidth="1"/>
    <col min="3" max="3" width="4" customWidth="1"/>
    <col min="4" max="4" width="12" customWidth="1"/>
    <col min="5" max="6" width="18" customWidth="1"/>
  </cols>
  <sheetData>
    <row r="1" spans="1:6" ht="30" customHeight="1" x14ac:dyDescent="0.45">
      <c r="A1" s="3" t="s">
        <v>100</v>
      </c>
      <c r="B1" s="3"/>
      <c r="C1" s="3"/>
      <c r="D1" s="3"/>
      <c r="E1" s="3"/>
      <c r="F1" s="3"/>
    </row>
    <row r="2" spans="1:6" ht="33.75" customHeight="1" x14ac:dyDescent="0.3">
      <c r="A2" s="2" t="s">
        <v>101</v>
      </c>
      <c r="B2" s="2"/>
      <c r="C2" s="2"/>
      <c r="D2" s="2"/>
      <c r="E2" s="2"/>
      <c r="F2" s="2"/>
    </row>
    <row r="4" spans="1:6" ht="14.25" customHeight="1" x14ac:dyDescent="0.3">
      <c r="A4" s="4" t="s">
        <v>102</v>
      </c>
      <c r="D4" s="4" t="s">
        <v>103</v>
      </c>
    </row>
    <row r="5" spans="1:6" ht="30" customHeight="1" x14ac:dyDescent="0.3">
      <c r="A5" s="7" t="s">
        <v>36</v>
      </c>
      <c r="B5" s="7" t="s">
        <v>41</v>
      </c>
      <c r="D5" s="7" t="s">
        <v>36</v>
      </c>
      <c r="E5" s="7" t="s">
        <v>39</v>
      </c>
      <c r="F5" s="7" t="s">
        <v>43</v>
      </c>
    </row>
    <row r="6" spans="1:6" ht="14.25" customHeight="1" x14ac:dyDescent="0.3">
      <c r="A6">
        <v>2021</v>
      </c>
      <c r="B6" s="21">
        <v>0.28899999999999998</v>
      </c>
      <c r="D6">
        <v>2021</v>
      </c>
      <c r="E6" s="21">
        <v>0.161</v>
      </c>
      <c r="F6" s="21">
        <v>0.191</v>
      </c>
    </row>
    <row r="7" spans="1:6" ht="14.25" customHeight="1" x14ac:dyDescent="0.3">
      <c r="A7">
        <v>2022</v>
      </c>
      <c r="B7" s="21">
        <v>0.28000000000000003</v>
      </c>
      <c r="D7">
        <v>2022</v>
      </c>
      <c r="E7" s="21">
        <v>0.109</v>
      </c>
      <c r="F7" s="21">
        <v>0.19500000000000001</v>
      </c>
    </row>
    <row r="8" spans="1:6" ht="14.25" customHeight="1" x14ac:dyDescent="0.3">
      <c r="A8">
        <v>2023</v>
      </c>
      <c r="B8" s="21">
        <v>0.27</v>
      </c>
      <c r="D8">
        <v>2023</v>
      </c>
      <c r="E8" s="21">
        <v>0.11</v>
      </c>
      <c r="F8" s="21">
        <v>0.19800000000000001</v>
      </c>
    </row>
    <row r="9" spans="1:6" ht="14.25" customHeight="1" x14ac:dyDescent="0.3">
      <c r="A9">
        <v>2024</v>
      </c>
      <c r="B9" s="21">
        <v>0.28199999999999997</v>
      </c>
      <c r="D9">
        <v>2024</v>
      </c>
      <c r="E9" s="21">
        <v>5.0999999999999997E-2</v>
      </c>
      <c r="F9" s="21">
        <v>0.2</v>
      </c>
    </row>
    <row r="10" spans="1:6" ht="14.25" customHeight="1" x14ac:dyDescent="0.3">
      <c r="A10">
        <v>2025</v>
      </c>
      <c r="B10" s="21">
        <f>'01_LOreal_Data'!F9</f>
        <v>0.30199999999999999</v>
      </c>
      <c r="D10">
        <v>2025</v>
      </c>
      <c r="E10" s="21">
        <v>0.04</v>
      </c>
      <c r="F10" s="21">
        <v>0.20200000000000001</v>
      </c>
    </row>
    <row r="13" spans="1:6" ht="42" customHeight="1" x14ac:dyDescent="0.3">
      <c r="A13" s="1" t="s">
        <v>104</v>
      </c>
      <c r="B13" s="1"/>
      <c r="C13" s="1"/>
      <c r="D13" s="1"/>
      <c r="E13" s="1"/>
      <c r="F13" s="1"/>
    </row>
  </sheetData>
  <mergeCells count="3">
    <mergeCell ref="A1:F1"/>
    <mergeCell ref="A2:F2"/>
    <mergeCell ref="A13:F13"/>
  </mergeCells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B7280"/>
  </sheetPr>
  <dimension ref="A1:F14"/>
  <sheetViews>
    <sheetView showGridLines="0" zoomScaleNormal="100" workbookViewId="0"/>
  </sheetViews>
  <sheetFormatPr defaultColWidth="8.6640625" defaultRowHeight="14.4" x14ac:dyDescent="0.3"/>
  <cols>
    <col min="1" max="1" width="30" customWidth="1"/>
    <col min="2" max="3" width="24" customWidth="1"/>
    <col min="4" max="4" width="42" customWidth="1"/>
    <col min="5" max="5" width="58" customWidth="1"/>
  </cols>
  <sheetData>
    <row r="1" spans="1:6" ht="30" customHeight="1" x14ac:dyDescent="0.45">
      <c r="A1" s="3" t="s">
        <v>105</v>
      </c>
      <c r="B1" s="3"/>
      <c r="C1" s="3"/>
      <c r="D1" s="3"/>
      <c r="E1" s="3"/>
      <c r="F1" s="3"/>
    </row>
    <row r="2" spans="1:6" ht="33.75" customHeight="1" x14ac:dyDescent="0.3">
      <c r="A2" s="2" t="s">
        <v>106</v>
      </c>
      <c r="B2" s="2"/>
      <c r="C2" s="2"/>
      <c r="D2" s="2"/>
      <c r="E2" s="2"/>
      <c r="F2" s="2"/>
    </row>
    <row r="4" spans="1:6" ht="30" customHeight="1" x14ac:dyDescent="0.3">
      <c r="A4" s="7" t="s">
        <v>107</v>
      </c>
      <c r="B4" s="7" t="s">
        <v>108</v>
      </c>
      <c r="C4" s="7" t="s">
        <v>109</v>
      </c>
      <c r="D4" s="7" t="s">
        <v>110</v>
      </c>
      <c r="E4" s="7" t="s">
        <v>111</v>
      </c>
    </row>
    <row r="5" spans="1:6" ht="57.75" customHeight="1" x14ac:dyDescent="0.3">
      <c r="A5" s="22" t="s">
        <v>112</v>
      </c>
      <c r="B5" s="22" t="s">
        <v>113</v>
      </c>
      <c r="C5" s="22" t="s">
        <v>114</v>
      </c>
      <c r="D5" s="22" t="s">
        <v>115</v>
      </c>
      <c r="E5" s="22" t="s">
        <v>116</v>
      </c>
    </row>
    <row r="6" spans="1:6" ht="57.75" customHeight="1" x14ac:dyDescent="0.3">
      <c r="A6" s="22" t="s">
        <v>117</v>
      </c>
      <c r="B6" s="22" t="s">
        <v>113</v>
      </c>
      <c r="C6" s="22" t="s">
        <v>84</v>
      </c>
      <c r="D6" s="22" t="s">
        <v>118</v>
      </c>
      <c r="E6" s="22" t="s">
        <v>119</v>
      </c>
    </row>
    <row r="7" spans="1:6" ht="57.75" customHeight="1" x14ac:dyDescent="0.3">
      <c r="A7" s="22" t="s">
        <v>120</v>
      </c>
      <c r="B7" s="22" t="s">
        <v>113</v>
      </c>
      <c r="C7" s="22" t="s">
        <v>84</v>
      </c>
      <c r="D7" s="22" t="s">
        <v>121</v>
      </c>
      <c r="E7" s="22" t="s">
        <v>122</v>
      </c>
    </row>
    <row r="8" spans="1:6" ht="57.75" customHeight="1" x14ac:dyDescent="0.3">
      <c r="A8" s="22" t="s">
        <v>123</v>
      </c>
      <c r="B8" s="22" t="s">
        <v>124</v>
      </c>
      <c r="C8" s="22" t="s">
        <v>125</v>
      </c>
      <c r="D8" s="22" t="s">
        <v>126</v>
      </c>
      <c r="E8" s="22" t="s">
        <v>127</v>
      </c>
    </row>
    <row r="9" spans="1:6" ht="57.75" customHeight="1" x14ac:dyDescent="0.3">
      <c r="A9" s="22" t="s">
        <v>128</v>
      </c>
      <c r="B9" s="22" t="s">
        <v>129</v>
      </c>
      <c r="C9" s="22" t="s">
        <v>130</v>
      </c>
      <c r="D9" s="22" t="s">
        <v>131</v>
      </c>
      <c r="E9" s="22" t="s">
        <v>132</v>
      </c>
    </row>
    <row r="10" spans="1:6" ht="57.75" customHeight="1" x14ac:dyDescent="0.3">
      <c r="A10" s="22" t="s">
        <v>133</v>
      </c>
      <c r="B10" s="22" t="s">
        <v>129</v>
      </c>
      <c r="C10" s="22" t="s">
        <v>130</v>
      </c>
      <c r="D10" s="22" t="s">
        <v>134</v>
      </c>
      <c r="E10" s="22" t="s">
        <v>135</v>
      </c>
    </row>
    <row r="11" spans="1:6" ht="14.25" customHeight="1" x14ac:dyDescent="0.3">
      <c r="A11" t="s">
        <v>136</v>
      </c>
      <c r="B11" t="s">
        <v>137</v>
      </c>
      <c r="C11" t="s">
        <v>138</v>
      </c>
      <c r="D11" t="s">
        <v>139</v>
      </c>
      <c r="E11" t="s">
        <v>140</v>
      </c>
    </row>
    <row r="12" spans="1:6" ht="14.25" customHeight="1" x14ac:dyDescent="0.3">
      <c r="A12" t="s">
        <v>141</v>
      </c>
      <c r="B12" t="s">
        <v>142</v>
      </c>
      <c r="C12" t="s">
        <v>143</v>
      </c>
      <c r="D12" t="s">
        <v>144</v>
      </c>
      <c r="E12" t="s">
        <v>145</v>
      </c>
    </row>
    <row r="13" spans="1:6" ht="42" customHeight="1" x14ac:dyDescent="0.3">
      <c r="A13" s="1"/>
      <c r="B13" s="1"/>
      <c r="C13" s="1"/>
      <c r="D13" s="1"/>
      <c r="E13" s="1"/>
      <c r="F13" s="1"/>
    </row>
    <row r="14" spans="1:6" ht="14.25" customHeight="1" x14ac:dyDescent="0.3">
      <c r="A14" t="s">
        <v>146</v>
      </c>
    </row>
  </sheetData>
  <mergeCells count="3">
    <mergeCell ref="A1:F1"/>
    <mergeCell ref="A2:F2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B7280"/>
  </sheetPr>
  <dimension ref="A1:F1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44" customWidth="1"/>
    <col min="2" max="3" width="16" customWidth="1"/>
    <col min="4" max="4" width="18" customWidth="1"/>
  </cols>
  <sheetData>
    <row r="1" spans="1:6" ht="30" customHeight="1" x14ac:dyDescent="0.45">
      <c r="A1" s="3" t="s">
        <v>147</v>
      </c>
      <c r="B1" s="3"/>
      <c r="C1" s="3"/>
      <c r="D1" s="3"/>
      <c r="E1" s="3"/>
      <c r="F1" s="3"/>
    </row>
    <row r="2" spans="1:6" ht="33.75" customHeight="1" x14ac:dyDescent="0.3">
      <c r="A2" s="2" t="s">
        <v>148</v>
      </c>
      <c r="B2" s="2"/>
      <c r="C2" s="2"/>
      <c r="D2" s="2"/>
      <c r="E2" s="2"/>
      <c r="F2" s="2"/>
    </row>
    <row r="4" spans="1:6" ht="14.25" customHeight="1" x14ac:dyDescent="0.3">
      <c r="A4" s="4" t="s">
        <v>149</v>
      </c>
    </row>
    <row r="5" spans="1:6" ht="30" customHeight="1" x14ac:dyDescent="0.3">
      <c r="A5" s="7" t="s">
        <v>36</v>
      </c>
      <c r="B5" s="7" t="s">
        <v>48</v>
      </c>
      <c r="C5" s="7" t="s">
        <v>49</v>
      </c>
      <c r="D5" s="7" t="s">
        <v>150</v>
      </c>
    </row>
    <row r="6" spans="1:6" ht="14.25" customHeight="1" x14ac:dyDescent="0.3">
      <c r="A6" s="8">
        <v>2022</v>
      </c>
      <c r="B6" s="19">
        <f>'01_LOreal_Data'!C6</f>
        <v>0.18499361984167306</v>
      </c>
      <c r="C6" s="19">
        <f>'01_LOreal_Data'!D6</f>
        <v>0.109</v>
      </c>
      <c r="D6" s="19">
        <f>B6-C6</f>
        <v>7.5993619841673063E-2</v>
      </c>
    </row>
    <row r="7" spans="1:6" ht="14.25" customHeight="1" x14ac:dyDescent="0.3">
      <c r="A7" s="8">
        <v>2023</v>
      </c>
      <c r="B7" s="19">
        <f>'01_LOreal_Data'!C7</f>
        <v>7.63683789590337E-2</v>
      </c>
      <c r="C7" s="19">
        <f>'01_LOreal_Data'!D7</f>
        <v>0.11</v>
      </c>
      <c r="D7" s="19">
        <f>B7-C7</f>
        <v>-3.36316210409663E-2</v>
      </c>
    </row>
    <row r="8" spans="1:6" ht="14.25" customHeight="1" x14ac:dyDescent="0.3">
      <c r="A8" s="8">
        <v>2024</v>
      </c>
      <c r="B8" s="19">
        <f>'01_LOreal_Data'!C8</f>
        <v>5.595337825532698E-2</v>
      </c>
      <c r="C8" s="19">
        <f>'01_LOreal_Data'!D8</f>
        <v>5.0999999999999997E-2</v>
      </c>
      <c r="D8" s="19">
        <f>B8-C8</f>
        <v>4.9533782553269831E-3</v>
      </c>
    </row>
    <row r="9" spans="1:6" ht="14.25" customHeight="1" x14ac:dyDescent="0.3">
      <c r="A9" s="8">
        <v>2025</v>
      </c>
      <c r="B9" s="19">
        <f>'01_LOreal_Data'!C9</f>
        <v>1.29970473798946E-2</v>
      </c>
      <c r="C9" s="19">
        <f>'01_LOreal_Data'!D9</f>
        <v>0.04</v>
      </c>
      <c r="D9" s="19">
        <f>B9-C9</f>
        <v>-2.7002952620105401E-2</v>
      </c>
    </row>
    <row r="11" spans="1:6" ht="42" customHeight="1" x14ac:dyDescent="0.3">
      <c r="A11" s="1" t="s">
        <v>151</v>
      </c>
      <c r="B11" s="1"/>
      <c r="C11" s="1"/>
      <c r="D11" s="1"/>
      <c r="E11" s="1"/>
      <c r="F11" s="1"/>
    </row>
    <row r="13" spans="1:6" ht="14.25" customHeight="1" x14ac:dyDescent="0.3">
      <c r="A13" s="4" t="s">
        <v>152</v>
      </c>
    </row>
    <row r="14" spans="1:6" ht="30" customHeight="1" x14ac:dyDescent="0.3">
      <c r="A14" s="7" t="s">
        <v>153</v>
      </c>
      <c r="B14" s="7" t="s">
        <v>83</v>
      </c>
      <c r="C14" s="7" t="s">
        <v>84</v>
      </c>
      <c r="D14" s="7" t="s">
        <v>154</v>
      </c>
    </row>
    <row r="15" spans="1:6" ht="14.25" customHeight="1" x14ac:dyDescent="0.3">
      <c r="A15" s="8" t="s">
        <v>155</v>
      </c>
      <c r="B15" s="20">
        <v>56.7</v>
      </c>
      <c r="C15" s="20">
        <v>59.65</v>
      </c>
      <c r="D15" s="20">
        <f>C15-B15</f>
        <v>2.9499999999999957</v>
      </c>
    </row>
    <row r="16" spans="1:6" ht="14.25" customHeight="1" x14ac:dyDescent="0.3">
      <c r="A16" s="8" t="s">
        <v>134</v>
      </c>
      <c r="B16" s="20">
        <v>22.34</v>
      </c>
      <c r="C16" s="20">
        <v>21.1</v>
      </c>
      <c r="D16" s="20">
        <f>C16-B16</f>
        <v>-1.2399999999999984</v>
      </c>
    </row>
    <row r="18" spans="1:6" ht="42" customHeight="1" x14ac:dyDescent="0.3">
      <c r="A18" s="1" t="s">
        <v>156</v>
      </c>
      <c r="B18" s="1"/>
      <c r="C18" s="1"/>
      <c r="D18" s="1"/>
      <c r="E18" s="1"/>
      <c r="F18" s="1"/>
    </row>
  </sheetData>
  <mergeCells count="4">
    <mergeCell ref="A1:F1"/>
    <mergeCell ref="A2:F2"/>
    <mergeCell ref="A11:F11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01_LOreal_Data</vt:lpstr>
      <vt:lpstr>02_Calculations</vt:lpstr>
      <vt:lpstr>03_FRED</vt:lpstr>
      <vt:lpstr>04_Eurostat_Consumer</vt:lpstr>
      <vt:lpstr>05_Eurostat_Business</vt:lpstr>
      <vt:lpstr>06_Charts</vt:lpstr>
      <vt:lpstr>07_Sources</vt:lpstr>
      <vt:lpstr>08_Appendix_Analysis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L'Oréal — AI Discovery Measurement Analysis</dc:title>
  <dc:subject/>
  <dc:creator>Vee</dc:creator>
  <dc:description/>
  <cp:lastModifiedBy>NALLA VIGNESHWARI</cp:lastModifiedBy>
  <cp:revision>0</cp:revision>
  <dcterms:created xsi:type="dcterms:W3CDTF">2026-09-22T17:45:40Z</dcterms:created>
  <dcterms:modified xsi:type="dcterms:W3CDTF">2026-10-02T16:25:00Z</dcterms:modified>
  <dc:language>en-US</dc:language>
</cp:coreProperties>
</file>