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_README" sheetId="1" state="visible" r:id="rId3"/>
    <sheet name="01_LOreal_Data" sheetId="2" state="visible" r:id="rId4"/>
    <sheet name="02_Calculations" sheetId="3" state="visible" r:id="rId5"/>
    <sheet name="03_FRED" sheetId="4" state="visible" r:id="rId6"/>
    <sheet name="04_Eurostat_Consumer" sheetId="5" state="visible" r:id="rId7"/>
    <sheet name="05_Eurostat_Business" sheetId="6" state="visible" r:id="rId8"/>
    <sheet name="06_Charts" sheetId="7" state="visible" r:id="rId9"/>
    <sheet name="07_Sources" sheetId="8" state="visible" r:id="rId10"/>
    <sheet name="08_Appendix_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<sst xmlns="http://schemas.openxmlformats.org/spreadsheetml/2006/main" count="210" uniqueCount="159">
  <si>
    <t xml:space="preserve">L'Oréal — AI Discovery Measurement Analysis</t>
  </si>
  <si>
    <t xml:space="preserve">Portfolio analysis workbook | evidence → calculations → context → charts</t>
  </si>
  <si>
    <t xml:space="preserve">BUSINESS QUESTION</t>
  </si>
  <si>
    <t xml:space="preserve">As beauty discovery moves into conversational AI, how can L'Oréal extend its existing measurement/data-collaboration model to understand AI-driven demand without needing to own the AI touchpoint?</t>
  </si>
  <si>
    <t xml:space="preserve">WORKBOOK STRUCTURE</t>
  </si>
  <si>
    <t xml:space="preserve">01_LOreal_Data</t>
  </si>
  <si>
    <t xml:space="preserve">Clean L'Oréal annual data.</t>
  </si>
  <si>
    <t xml:space="preserve">02_Calculations</t>
  </si>
  <si>
    <t xml:space="preserve">YoY, percentage points, CAGR, indexing and comparisons.</t>
  </si>
  <si>
    <t xml:space="preserve">03_FRED</t>
  </si>
  <si>
    <t xml:space="preserve">U.S. Health &amp; Personal Care Stores context.</t>
  </si>
  <si>
    <t xml:space="preserve">04_Eurostat_Consumer</t>
  </si>
  <si>
    <t xml:space="preserve">Consumer online-purchase adoption.</t>
  </si>
  <si>
    <t xml:space="preserve">05_Eurostat_Business</t>
  </si>
  <si>
    <t xml:space="preserve">Enterprise B2C web-sales adoption.</t>
  </si>
  <si>
    <t xml:space="preserve">06_Charts</t>
  </si>
  <si>
    <t xml:space="preserve">Clean tables feeding the PPT visuals.</t>
  </si>
  <si>
    <t xml:space="preserve">07_Sources</t>
  </si>
  <si>
    <t xml:space="preserve">Source audit, definitions and limitations.</t>
  </si>
  <si>
    <t xml:space="preserve">08_Appendix_Analysis</t>
  </si>
  <si>
    <t xml:space="preserve">Supporting observations, including Spain.</t>
  </si>
  <si>
    <t xml:space="preserve">KEY METHODOLOGY RULES</t>
  </si>
  <si>
    <t xml:space="preserve">•</t>
  </si>
  <si>
    <t xml:space="preserve">Reported growth and LFL growth are not interchangeable.</t>
  </si>
  <si>
    <t xml:space="preserve">Use percentage-point change for shares/adoption rates.</t>
  </si>
  <si>
    <t xml:space="preserve">2025 e-commerce: €13.3bn in sales, 30.2% of Group sales (2025 Universal Registration Document).</t>
  </si>
  <si>
    <t xml:space="preserve">FRED/Eurostat are contextual, not like-for-like L'Oréal benchmarks.</t>
  </si>
  <si>
    <t xml:space="preserve">AI attribution is not treated as proof of incrementality.</t>
  </si>
  <si>
    <t xml:space="preserve">Unknown values remain unknown rather than becoming zero.</t>
  </si>
  <si>
    <t xml:space="preserve">SOURCE FILES USED</t>
  </si>
  <si>
    <t xml:space="preserve">L'Oréal Annual Reports / 2025 Universal Registration Document / 2025 Annual Results.</t>
  </si>
  <si>
    <t xml:space="preserve">FRED MRTSSM446USS.</t>
  </si>
  <si>
    <t xml:space="preserve">Eurostat isoc_ec_ib20.</t>
  </si>
  <si>
    <t xml:space="preserve">Eurostat isoc_ec_esels.</t>
  </si>
  <si>
    <t xml:space="preserve">01 — L'Oréal Core Data</t>
  </si>
  <si>
    <t xml:space="preserve">Annual company data | € million unless stated</t>
  </si>
  <si>
    <t xml:space="preserve">Year</t>
  </si>
  <si>
    <t xml:space="preserve">Total Sales (€m)</t>
  </si>
  <si>
    <t xml:space="preserve">Reported YoY Growth</t>
  </si>
  <si>
    <t xml:space="preserve">LFL Sales Growth</t>
  </si>
  <si>
    <t xml:space="preserve">E-commerce Sales (€m)</t>
  </si>
  <si>
    <t xml:space="preserve">E-commerce Share</t>
  </si>
  <si>
    <t xml:space="preserve">E-commerce Growth (LFL, as reported by L'Oréal)</t>
  </si>
  <si>
    <t xml:space="preserve">Operating Margin</t>
  </si>
  <si>
    <t xml:space="preserve">E-commerce definition: sales on L'Oréal brand websites, sales to online pure players, and the e-commerce portion of sales to traditional retailers; like-for-like, based on non-audited declarative data.</t>
  </si>
  <si>
    <t xml:space="preserve">2025: L’Oréal’s Universal Registration Document reports €13.3bn in e-commerce sales, equal to 30.2% of Group sales, up 12.7% in 2025.</t>
  </si>
  <si>
    <t xml:space="preserve">02 — Calculations</t>
  </si>
  <si>
    <t xml:space="preserve">Formula-driven calculations used in the analysis</t>
  </si>
  <si>
    <t xml:space="preserve">A. Year-on-Year Growth</t>
  </si>
  <si>
    <t xml:space="preserve">Reported YoY</t>
  </si>
  <si>
    <t xml:space="preserve">LFL Growth</t>
  </si>
  <si>
    <t xml:space="preserve">E-commerce Growth (LFL)</t>
  </si>
  <si>
    <t xml:space="preserve">Share Δ (pp)</t>
  </si>
  <si>
    <t xml:space="preserve">2025 e-commerce: €13.3bn, 30.2% of Group sales, +12.7% (2025 Universal Registration Document)</t>
  </si>
  <si>
    <t xml:space="preserve">B. CAGR</t>
  </si>
  <si>
    <t xml:space="preserve">Metric</t>
  </si>
  <si>
    <t xml:space="preserve">Start Year</t>
  </si>
  <si>
    <t xml:space="preserve">End Year</t>
  </si>
  <si>
    <t xml:space="preserve">Start Value</t>
  </si>
  <si>
    <t xml:space="preserve">End Value</t>
  </si>
  <si>
    <t xml:space="preserve">CAGR</t>
  </si>
  <si>
    <t xml:space="preserve">Total Sales</t>
  </si>
  <si>
    <t xml:space="preserve">E-commerce Sales</t>
  </si>
  <si>
    <t xml:space="preserve">CAGR note: total sales and e-commerce sales both use the same 2021–2025 window (4 years).</t>
  </si>
  <si>
    <t xml:space="preserve">C. Indexing (2021 = 100)</t>
  </si>
  <si>
    <t xml:space="preserve">Total Sales Index</t>
  </si>
  <si>
    <t xml:space="preserve">E-commerce Index</t>
  </si>
  <si>
    <t xml:space="preserve">Index Gap (Total − E-commerce)</t>
  </si>
  <si>
    <t xml:space="preserve">Index interpretation: 2021 is rebased to 100. Indexing shows the full path rather than compressing the period into one CAGR.</t>
  </si>
  <si>
    <t xml:space="preserve">03 — FRED External Retail Context</t>
  </si>
  <si>
    <t xml:space="preserve">U.S. Retail Sales: Health &amp; Personal Care Stores | monthly, seasonally adjusted, $ millions</t>
  </si>
  <si>
    <t xml:space="preserve">Observation Date</t>
  </si>
  <si>
    <t xml:space="preserve">Sales ($m)</t>
  </si>
  <si>
    <t xml:space="preserve">Annual Summary</t>
  </si>
  <si>
    <t xml:space="preserve">Annual Total ($m)</t>
  </si>
  <si>
    <t xml:space="preserve">Annual Average ($m)</t>
  </si>
  <si>
    <t xml:space="preserve">YoY Growth</t>
  </si>
  <si>
    <t xml:space="preserve">Comparability note: FRED is U.S.-only and category-level, while L'Oréal is global and company-specific. Use as directional context only.</t>
  </si>
  <si>
    <t xml:space="preserve">04 — Eurostat Consumer Adoption</t>
  </si>
  <si>
    <t xml:space="preserve">Last online purchase: in the last 3 months | % of individuals | 2020–2025</t>
  </si>
  <si>
    <t xml:space="preserve">Country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</si>
  <si>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</si>
  <si>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</si>
  <si>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</si>
  <si>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</si>
  <si>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</si>
  <si>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</si>
  <si>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EU-27</t>
  </si>
  <si>
    <t xml:space="preserve">Germany</t>
  </si>
  <si>
    <t xml:space="preserve">France</t>
  </si>
  <si>
    <t xml:space="preserve">Spain</t>
  </si>
  <si>
    <t xml:space="preserve">Italy</t>
  </si>
  <si>
    <t xml:space="preserve">YoY change (percentage points)</t>
  </si>
  <si>
    <t xml:space="preserve">2020→2021</t>
  </si>
  <si>
    <t xml:space="preserve">2021→2022</t>
  </si>
  <si>
    <t xml:space="preserve">2022→2023</t>
  </si>
  <si>
    <t xml:space="preserve">2023→2024</t>
  </si>
  <si>
    <t xml:space="preserve">Caveats: this measures people reporting an online purchase in the last 3 months, not beauty purchases or spending. Eurostat flags structural breaks in parts of the series; 2020→2021 comparisons should be treated cautiously. France has no disclosed 2020 value, so its 2020→2021 change is left blank rather than computed against a false zero.</t>
  </si>
  <si>
    <t xml:space="preserve">05 — Eurostat Business Adoption</t>
  </si>
  <si>
    <t xml:space="preserve">Enterprises with web sales — B2C | 10 persons employed or more | % of enterprises | 2020–2025</t>
  </si>
  <si>
    <t xml:space="preserve">2024→2025</t>
  </si>
  <si>
    <t xml:space="preserve">Caveats: this is all-sector enterprise adoption, not beauty/retail-specific. France has a flagged break in 2022 in the source series.</t>
  </si>
  <si>
    <t xml:space="preserve">06 — Chart Source Tables</t>
  </si>
  <si>
    <t xml:space="preserve">Only the clean tables needed to reproduce the portfolio visuals</t>
  </si>
  <si>
    <t xml:space="preserve">Chart 1 — E-commerce Share of Sales</t>
  </si>
  <si>
    <t xml:space="preserve">Chart 2 — Growth vs Margin</t>
  </si>
  <si>
    <t xml:space="preserve">These tables are separated from calculations so the PPT charts can be reproduced without touching the analytical tabs.</t>
  </si>
  <si>
    <t xml:space="preserve">07 — Sources &amp; Methodology</t>
  </si>
  <si>
    <t xml:space="preserve">Source audit for the portfolio workbook</t>
  </si>
  <si>
    <t xml:space="preserve">Source</t>
  </si>
  <si>
    <t xml:space="preserve">Publisher / Provider</t>
  </si>
  <si>
    <t xml:space="preserve">Period Used</t>
  </si>
  <si>
    <t xml:space="preserve">Supports</t>
  </si>
  <si>
    <t xml:space="preserve">Key limitation / note</t>
  </si>
  <si>
    <t xml:space="preserve">L'Oréal Annual Reports 2021–2024</t>
  </si>
  <si>
    <t xml:space="preserve">L'Oréal</t>
  </si>
  <si>
    <t xml:space="preserve">2021–2024</t>
  </si>
  <si>
    <t xml:space="preserve">Total sales, LFL growth, e-commerce sales/share/growth, operating margin</t>
  </si>
  <si>
    <t xml:space="preserve">Company-reported; e-commerce definition is consistent across the series.</t>
  </si>
  <si>
    <t xml:space="preserve">L'Oréal Universal Registration Document 2025</t>
  </si>
  <si>
    <t xml:space="preserve">2025 sales, reported/LFL growth, operating margin, e-commerce sales €13.3bn = 30.2% of Group sales (+12.7% like-for-like)</t>
  </si>
  <si>
    <t xml:space="preserve">Company-reported; e-commerce sales rounded to €0.1bn in the source.</t>
  </si>
  <si>
    <t xml:space="preserve">2025 Annual Results</t>
  </si>
  <si>
    <t xml:space="preserve">2025 headline results; e-commerce described as passing the 30% mark</t>
  </si>
  <si>
    <t xml:space="preserve">Exact 2025 e-commerce figures are taken from the Universal Registration Document, not this release.</t>
  </si>
  <si>
    <t xml:space="preserve">MRTSSM446USS</t>
  </si>
  <si>
    <t xml:space="preserve">U.S. Census via FRED</t>
  </si>
  <si>
    <t xml:space="preserve">2019–2026 monthly; 2021–2025 analysis</t>
  </si>
  <si>
    <t xml:space="preserve">Health &amp; Personal Care Stores retail context</t>
  </si>
  <si>
    <t xml:space="preserve">U.S.-only, category-level benchmark; not like-for-like with L'Oréal.</t>
  </si>
  <si>
    <t xml:space="preserve">isoc_ec_ib20</t>
  </si>
  <si>
    <t xml:space="preserve">Eurostat</t>
  </si>
  <si>
    <t xml:space="preserve">2020–2025</t>
  </si>
  <si>
    <t xml:space="preserve">Online purchase adoption by individuals</t>
  </si>
  <si>
    <t xml:space="preserve">All-category online shopping; not beauty-specific spending; structural breaks flagged.</t>
  </si>
  <si>
    <t xml:space="preserve">isoc_ec_esels</t>
  </si>
  <si>
    <t xml:space="preserve">Enterprise B2C web-sales adoption</t>
  </si>
  <si>
    <t xml:space="preserve">All sectors; 10+ employees; not beauty-specific; France has a flagged 2022 break.</t>
  </si>
  <si>
    <t xml:space="preserve">L'Oréal × OpenAI announcement, 17 June 2026</t>
  </si>
  <si>
    <t xml:space="preserve">L'Oréal / OpenAI (VivaTech)</t>
  </si>
  <si>
    <t xml:space="preserve">2026</t>
  </si>
  <si>
    <t xml:space="preserve">AI-powered discovery, virtual try-on, and advertising initiatives</t>
  </si>
  <si>
    <t xml:space="preserve">Announcement establishes scope; L'Oréal-specific measurement implementation is not detailed in public sources.</t>
  </si>
  <si>
    <t xml:space="preserve">OpenAI ChatGPT Ads documentation</t>
  </si>
  <si>
    <t xml:space="preserve">OpenAI</t>
  </si>
  <si>
    <t xml:space="preserve">Current as of September 2026</t>
  </si>
  <si>
    <t xml:space="preserve">Platform-level geographic targeting and reporting capability</t>
  </si>
  <si>
    <t xml:space="preserve">Confirms platform capability only — not L'Oréal's specific eligible-market assignment or reporting access.</t>
  </si>
  <si>
    <t xml:space="preserve">Comparability rule: L'Oréal vs itself supports full quantitative analysis. FRED and Eurostat are contextual/descriptive evidence only.</t>
  </si>
  <si>
    <t xml:space="preserve">08 — Appendix Analysis</t>
  </si>
  <si>
    <t xml:space="preserve">Supporting observations behind the main portfolio narrative</t>
  </si>
  <si>
    <t xml:space="preserve">Reported Growth vs Like-for-Like Growth</t>
  </si>
  <si>
    <t xml:space="preserve">Difference (pp)</t>
  </si>
  <si>
    <t xml:space="preserve">Reported growth includes currency/scope effects; LFL growth is based on comparable structure and identical exchange rates. The main deck uses LFL for the five-year operating trend.</t>
  </si>
  <si>
    <t xml:space="preserve">Spain — 2024→2025 Divergence</t>
  </si>
  <si>
    <t xml:space="preserve">Indicator</t>
  </si>
  <si>
    <t xml:space="preserve">Change (pp)</t>
  </si>
  <si>
    <t xml:space="preserve">Consumer online purchase adoption</t>
  </si>
  <si>
    <t xml:space="preserve">Interpretation rule: the Spain divergence is descriptive, not causal. The datasets measure different populations and concepts, so the reason remains unresolved.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</si>
</sst>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0.00%"/>
    <numFmt numFmtId="168" formatCode="0.00"/>
    <numFmt numFmtId="169" formatCode="mmm\-yy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2"/>
      <charset val="1"/>
    </font>
    <font>
      <i val="true"/>
      <sz val="10"/>
      <color rgb="FF4B5563"/>
      <name val="Calibri"/>
      <family val="2"/>
      <charset val="1"/>
    </font>
    <font>
      <b val="true"/>
      <sz val="11"/>
      <color rgb="FFC8102E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4B556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artECShare" displayName="ChartECShare" ref="A5:B10" headerRowCount="1" totalsRowCount="0" totalsRowShown="0">
  <autoFilter ref="A5:B10"/>
  <tableColumns count="2">
    <tableColumn id="1" name="Year"/>
    <tableColumn id="2" name="E-commerce Share"/>
  </tableColumns>
</table>
</file>

<file path=xl/tables/table2.xml><?xml version="1.0" encoding="utf-8"?>
<table xmlns="http://schemas.openxmlformats.org/spreadsheetml/2006/main" id="2" name="ChartGrowthMargin" displayName="ChartGrowthMargin" ref="D5:F10" headerRowCount="1" totalsRowCount="0" totalsRowShown="0">
  <autoFilter ref="D5:F10"/>
  <tableColumns count="3">
    <tableColumn id="1" name="Year"/>
    <tableColumn id="2" name="LFL Sales Growth"/>
    <tableColumn id="3" name="Operating Margin"/>
  </tableColumns>
</table>
</file>

<file path=xl/tables/table3.xml><?xml version="1.0" encoding="utf-8"?>
<table xmlns="http://schemas.openxmlformats.org/spreadsheetml/2006/main" id="3" name="EurostatBusiness" displayName="EurostatBusiness" ref="A4:G9" headerRowCount="1" totalsRowCount="0" totalsRowShown="0">
  <autoFilter ref="A4:G9"/>
  <tableColumns count="7">
    <tableColumn id="1" name="Country"/>
    <tableColumn id="2" name="2020"/>
    <tableColumn id="3" name="2021"/>
    <tableColumn id="4" name="2022"/>
    <tableColumn id="5" name="2023"/>
    <tableColumn id="6" name="2024"/>
    <tableColumn id="7" name="2025"/>
  </tableColumns>
</table>
</file>

<file path=xl/tables/table4.xml><?xml version="1.0" encoding="utf-8"?>
<table xmlns="http://schemas.openxmlformats.org/spreadsheetml/2006/main" id="4" name="EurostatConsumer" displayName="EurostatConsumer" ref="A4:G9" headerRowCount="1" totalsRowCount="0" totalsRowShown="0">
  <autoFilter ref="A4:G9"/>
  <tableColumns count="7">
    <tableColumn id="1" name="Country"/>
    <tableColumn id="2" name="2020"/>
    <tableColumn id="3" name="2021"/>
    <tableColumn id="4" name="2022"/>
    <tableColumn id="5" name="2023"/>
    <tableColumn id="6" name="2024"/>
    <tableColumn id="7" name="2025"/>
  </tableColumns>
</table>
</file>

<file path=xl/tables/table5.xml><?xml version="1.0" encoding="utf-8"?>
<table xmlns="http://schemas.openxmlformats.org/spreadsheetml/2006/main" id="5" name="FREDMonthly" displayName="FREDMonthly" ref="A4:C94" headerRowCount="1" totalsRowCount="0" totalsRowShown="0">
  <autoFilter ref="A4:C94"/>
  <tableColumns count="3">
    <tableColumn id="1" name="Observation Date"/>
    <tableColumn id="2" name="Sales ($m)"/>
    <tableColumn id="3" name="Year"/>
  </tableColumns>
</table>
</file>

<file path=xl/tables/table6.xml><?xml version="1.0" encoding="utf-8"?>
<table xmlns="http://schemas.openxmlformats.org/spreadsheetml/2006/main" id="6" name="LOrealCore" displayName="LOrealCore" ref="A4:H9" headerRowCount="1" totalsRowCount="0" totalsRowShown="0">
  <autoFilter ref="A4:H9"/>
  <tableColumns count="8">
    <tableColumn id="1" name="Year"/>
    <tableColumn id="2" name="Total Sales (€m)"/>
    <tableColumn id="3" name="Reported YoY Growth"/>
    <tableColumn id="4" name="LFL Sales Growth"/>
    <tableColumn id="5" name="E-commerce Sales (€m)"/>
    <tableColumn id="6" name="E-commerce Share"/>
    <tableColumn id="7" name="E-commerce Growth (LFL, as reported by L'Oréal)"/>
    <tableColumn id="8" name="Operating Marg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9" activePane="bottomLeft" state="frozen"/>
      <selection pane="topLeft" activeCell="A1" activeCellId="0" sqref="A1"/>
      <selection pane="bottomLeft" activeCell="A19" activeCellId="0" sqref="A1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4.25" hidden="false" customHeight="true" outlineLevel="0" collapsed="false">
      <c r="A4" s="4" t="s">
        <v>2</v>
      </c>
    </row>
    <row r="5" customFormat="false" ht="14.25" hidden="false" customHeight="true" outlineLevel="0" collapsed="false">
      <c r="A5" s="5" t="s">
        <v>3</v>
      </c>
    </row>
    <row r="7" customFormat="false" ht="14.25" hidden="false" customHeight="true" outlineLevel="0" collapsed="false">
      <c r="A7" s="4" t="s">
        <v>4</v>
      </c>
    </row>
    <row r="8" customFormat="false" ht="14.25" hidden="false" customHeight="true" outlineLevel="0" collapsed="false">
      <c r="A8" s="6" t="s">
        <v>5</v>
      </c>
      <c r="B8" s="1" t="s">
        <v>6</v>
      </c>
    </row>
    <row r="9" customFormat="false" ht="14.25" hidden="false" customHeight="true" outlineLevel="0" collapsed="false">
      <c r="A9" s="6" t="s">
        <v>7</v>
      </c>
      <c r="B9" s="1" t="s">
        <v>8</v>
      </c>
    </row>
    <row r="10" customFormat="false" ht="14.25" hidden="false" customHeight="true" outlineLevel="0" collapsed="false">
      <c r="A10" s="6" t="s">
        <v>9</v>
      </c>
      <c r="B10" s="1" t="s">
        <v>10</v>
      </c>
    </row>
    <row r="11" customFormat="false" ht="14.25" hidden="false" customHeight="true" outlineLevel="0" collapsed="false">
      <c r="A11" s="6" t="s">
        <v>11</v>
      </c>
      <c r="B11" s="1" t="s">
        <v>12</v>
      </c>
    </row>
    <row r="12" customFormat="false" ht="14.25" hidden="false" customHeight="true" outlineLevel="0" collapsed="false">
      <c r="A12" s="6" t="s">
        <v>13</v>
      </c>
      <c r="B12" s="1" t="s">
        <v>14</v>
      </c>
    </row>
    <row r="13" customFormat="false" ht="14.25" hidden="false" customHeight="true" outlineLevel="0" collapsed="false">
      <c r="A13" s="6" t="s">
        <v>15</v>
      </c>
      <c r="B13" s="1" t="s">
        <v>16</v>
      </c>
    </row>
    <row r="14" customFormat="false" ht="14.25" hidden="false" customHeight="true" outlineLevel="0" collapsed="false">
      <c r="A14" s="6" t="s">
        <v>17</v>
      </c>
      <c r="B14" s="1" t="s">
        <v>18</v>
      </c>
    </row>
    <row r="15" customFormat="false" ht="14.25" hidden="false" customHeight="true" outlineLevel="0" collapsed="false">
      <c r="A15" s="6" t="s">
        <v>19</v>
      </c>
      <c r="B15" s="1" t="s">
        <v>20</v>
      </c>
    </row>
    <row r="18" customFormat="false" ht="14.25" hidden="false" customHeight="true" outlineLevel="0" collapsed="false">
      <c r="A18" s="4" t="s">
        <v>21</v>
      </c>
    </row>
    <row r="19" customFormat="false" ht="14.25" hidden="false" customHeight="true" outlineLevel="0" collapsed="false">
      <c r="A19" s="1" t="s">
        <v>22</v>
      </c>
      <c r="B19" s="1" t="s">
        <v>23</v>
      </c>
    </row>
    <row r="20" customFormat="false" ht="14.25" hidden="false" customHeight="true" outlineLevel="0" collapsed="false">
      <c r="A20" s="1" t="s">
        <v>22</v>
      </c>
      <c r="B20" s="1" t="s">
        <v>24</v>
      </c>
    </row>
    <row r="21" customFormat="false" ht="14.25" hidden="false" customHeight="true" outlineLevel="0" collapsed="false">
      <c r="A21" s="1" t="s">
        <v>22</v>
      </c>
      <c r="B21" s="1" t="s">
        <v>25</v>
      </c>
    </row>
    <row r="22" customFormat="false" ht="14.25" hidden="false" customHeight="true" outlineLevel="0" collapsed="false">
      <c r="A22" s="1" t="s">
        <v>22</v>
      </c>
      <c r="B22" s="1" t="s">
        <v>26</v>
      </c>
    </row>
    <row r="23" customFormat="false" ht="14.25" hidden="false" customHeight="true" outlineLevel="0" collapsed="false">
      <c r="A23" s="1" t="s">
        <v>22</v>
      </c>
      <c r="B23" s="1" t="s">
        <v>27</v>
      </c>
    </row>
    <row r="24" customFormat="false" ht="14.25" hidden="false" customHeight="true" outlineLevel="0" collapsed="false">
      <c r="A24" s="1" t="s">
        <v>22</v>
      </c>
      <c r="B24" s="1" t="s">
        <v>28</v>
      </c>
    </row>
    <row r="27" customFormat="false" ht="14.25" hidden="false" customHeight="true" outlineLevel="0" collapsed="false">
      <c r="A27" s="4" t="s">
        <v>29</v>
      </c>
    </row>
    <row r="28" customFormat="false" ht="14.25" hidden="false" customHeight="true" outlineLevel="0" collapsed="false">
      <c r="A28" s="1" t="s">
        <v>22</v>
      </c>
      <c r="B28" s="1" t="s">
        <v>30</v>
      </c>
    </row>
    <row r="29" customFormat="false" ht="14.25" hidden="false" customHeight="true" outlineLevel="0" collapsed="false">
      <c r="A29" s="1" t="s">
        <v>22</v>
      </c>
      <c r="B29" s="1" t="s">
        <v>31</v>
      </c>
    </row>
    <row r="30" customFormat="false" ht="14.25" hidden="false" customHeight="true" outlineLevel="0" collapsed="false">
      <c r="A30" s="1" t="s">
        <v>22</v>
      </c>
      <c r="B30" s="1" t="s">
        <v>32</v>
      </c>
    </row>
    <row r="31" customFormat="false" ht="14.25" hidden="false" customHeight="true" outlineLevel="0" collapsed="false">
      <c r="A31" s="1" t="s">
        <v>22</v>
      </c>
      <c r="B31" s="1" t="s">
        <v>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3" activeCellId="0" sqref="A1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17"/>
    <col collapsed="false" customWidth="true" hidden="false" outlineLevel="0" max="5" min="5" style="1" width="21"/>
    <col collapsed="false" customWidth="true" hidden="false" outlineLevel="0" max="7" min="6" style="1" width="18"/>
    <col collapsed="false" customWidth="true" hidden="false" outlineLevel="0" max="8" min="8" style="1" width="17"/>
  </cols>
  <sheetData>
    <row r="1" customFormat="false" ht="30" hidden="false" customHeight="true" outlineLevel="0" collapsed="false">
      <c r="A1" s="2" t="s">
        <v>34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35</v>
      </c>
      <c r="B2" s="3"/>
      <c r="C2" s="3"/>
      <c r="D2" s="3"/>
      <c r="E2" s="3"/>
      <c r="F2" s="3"/>
    </row>
    <row r="4" customFormat="false" ht="45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</row>
    <row r="5" customFormat="false" ht="14.25" hidden="false" customHeight="true" outlineLevel="0" collapsed="false">
      <c r="A5" s="8" t="n">
        <v>2021</v>
      </c>
      <c r="B5" s="9" t="n">
        <v>32287.6</v>
      </c>
      <c r="C5" s="10"/>
      <c r="D5" s="10" t="n">
        <v>0.161</v>
      </c>
      <c r="E5" s="9" t="n">
        <v>9300</v>
      </c>
      <c r="F5" s="10" t="n">
        <v>0.289</v>
      </c>
      <c r="G5" s="10" t="n">
        <v>0.257</v>
      </c>
      <c r="H5" s="10" t="n">
        <v>0.191</v>
      </c>
    </row>
    <row r="6" customFormat="false" ht="14.25" hidden="false" customHeight="true" outlineLevel="0" collapsed="false">
      <c r="A6" s="8" t="n">
        <v>2022</v>
      </c>
      <c r="B6" s="9" t="n">
        <v>38260.6</v>
      </c>
      <c r="C6" s="10" t="n">
        <f aca="false">(B6/B5)-1</f>
        <v>0.184993619841673</v>
      </c>
      <c r="D6" s="10" t="n">
        <v>0.109</v>
      </c>
      <c r="E6" s="9" t="n">
        <v>10800</v>
      </c>
      <c r="F6" s="10" t="n">
        <v>0.28</v>
      </c>
      <c r="G6" s="10" t="n">
        <v>0.089</v>
      </c>
      <c r="H6" s="10" t="n">
        <v>0.195</v>
      </c>
    </row>
    <row r="7" customFormat="false" ht="14.25" hidden="false" customHeight="true" outlineLevel="0" collapsed="false">
      <c r="A7" s="8" t="n">
        <v>2023</v>
      </c>
      <c r="B7" s="9" t="n">
        <v>41182.5</v>
      </c>
      <c r="C7" s="10" t="n">
        <f aca="false">(B7/B6)-1</f>
        <v>0.0763683789590337</v>
      </c>
      <c r="D7" s="10" t="n">
        <v>0.11</v>
      </c>
      <c r="E7" s="9" t="n">
        <v>11200</v>
      </c>
      <c r="F7" s="10" t="n">
        <v>0.27</v>
      </c>
      <c r="G7" s="10" t="n">
        <v>0.095</v>
      </c>
      <c r="H7" s="10" t="n">
        <v>0.198</v>
      </c>
    </row>
    <row r="8" customFormat="false" ht="14.25" hidden="false" customHeight="true" outlineLevel="0" collapsed="false">
      <c r="A8" s="8" t="n">
        <v>2024</v>
      </c>
      <c r="B8" s="9" t="n">
        <v>43486.8</v>
      </c>
      <c r="C8" s="10" t="n">
        <f aca="false">(B8/B7)-1</f>
        <v>0.055953378255327</v>
      </c>
      <c r="D8" s="10" t="n">
        <v>0.051</v>
      </c>
      <c r="E8" s="9" t="n">
        <v>12300</v>
      </c>
      <c r="F8" s="10" t="n">
        <v>0.282</v>
      </c>
      <c r="G8" s="10" t="n">
        <v>0.078</v>
      </c>
      <c r="H8" s="10" t="n">
        <v>0.2</v>
      </c>
    </row>
    <row r="9" customFormat="false" ht="14.25" hidden="false" customHeight="true" outlineLevel="0" collapsed="false">
      <c r="A9" s="8" t="n">
        <v>2025</v>
      </c>
      <c r="B9" s="9" t="n">
        <v>44052</v>
      </c>
      <c r="C9" s="10" t="n">
        <f aca="false">(B9/B8)-1</f>
        <v>0.0129970473798946</v>
      </c>
      <c r="D9" s="10" t="n">
        <v>0.04</v>
      </c>
      <c r="E9" s="9" t="n">
        <v>13300</v>
      </c>
      <c r="F9" s="10" t="n">
        <v>0.302</v>
      </c>
      <c r="G9" s="10" t="n">
        <v>0.127</v>
      </c>
      <c r="H9" s="10" t="n">
        <v>0.202</v>
      </c>
    </row>
    <row r="11" customFormat="false" ht="42" hidden="false" customHeight="true" outlineLevel="0" collapsed="false">
      <c r="A11" s="11" t="s">
        <v>44</v>
      </c>
      <c r="B11" s="11"/>
      <c r="C11" s="11"/>
      <c r="D11" s="11"/>
      <c r="E11" s="11"/>
      <c r="F11" s="11"/>
      <c r="G11" s="11"/>
      <c r="H11" s="11"/>
    </row>
    <row r="13" customFormat="false" ht="42" hidden="false" customHeight="true" outlineLevel="0" collapsed="false">
      <c r="A13" s="11" t="s">
        <v>45</v>
      </c>
      <c r="B13" s="11"/>
      <c r="C13" s="11"/>
      <c r="D13" s="11"/>
      <c r="E13" s="11"/>
      <c r="F13" s="11"/>
      <c r="G13" s="11"/>
      <c r="H13" s="11"/>
    </row>
  </sheetData>
  <mergeCells count="4">
    <mergeCell ref="A1:F1"/>
    <mergeCell ref="A2:F2"/>
    <mergeCell ref="A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8" activePane="bottomLeft" state="frozen"/>
      <selection pane="topLeft" activeCell="A1" activeCellId="0" sqref="A1"/>
      <selection pane="bottomLeft" activeCell="A22" activeCellId="0" sqref="A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8"/>
    <col collapsed="false" customWidth="true" hidden="false" outlineLevel="0" max="6" min="6" style="1" width="15"/>
    <col collapsed="false" customWidth="true" hidden="false" outlineLevel="0" max="7" min="7" style="1" width="18"/>
  </cols>
  <sheetData>
    <row r="1" customFormat="false" ht="30" hidden="false" customHeight="true" outlineLevel="0" collapsed="false">
      <c r="A1" s="2" t="s">
        <v>46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47</v>
      </c>
      <c r="B2" s="3"/>
      <c r="C2" s="3"/>
      <c r="D2" s="3"/>
      <c r="E2" s="3"/>
      <c r="F2" s="3"/>
    </row>
    <row r="4" customFormat="false" ht="14.25" hidden="false" customHeight="true" outlineLevel="0" collapsed="false">
      <c r="A4" s="4" t="s">
        <v>48</v>
      </c>
    </row>
    <row r="5" customFormat="false" ht="30" hidden="false" customHeight="true" outlineLevel="0" collapsed="false">
      <c r="A5" s="12" t="s">
        <v>36</v>
      </c>
      <c r="B5" s="12" t="s">
        <v>37</v>
      </c>
      <c r="C5" s="12" t="s">
        <v>49</v>
      </c>
      <c r="D5" s="12" t="s">
        <v>50</v>
      </c>
      <c r="E5" s="12" t="s">
        <v>51</v>
      </c>
      <c r="F5" s="12" t="s">
        <v>41</v>
      </c>
      <c r="G5" s="12" t="s">
        <v>52</v>
      </c>
    </row>
    <row r="6" customFormat="false" ht="14.25" hidden="false" customHeight="true" outlineLevel="0" collapsed="false">
      <c r="A6" s="13" t="n">
        <v>2021</v>
      </c>
      <c r="B6" s="14" t="n">
        <f aca="false">01_LOreal_Data!B5</f>
        <v>32287.6</v>
      </c>
      <c r="C6" s="15" t="str">
        <f aca="false">IF(01_LOreal_Data!C5="","",01_LOreal_Data!C5)</f>
        <v/>
      </c>
      <c r="D6" s="15" t="n">
        <f aca="false">01_LOreal_Data!D5</f>
        <v>0.161</v>
      </c>
      <c r="E6" s="15" t="n">
        <f aca="false">01_LOreal_Data!G5</f>
        <v>0.257</v>
      </c>
      <c r="F6" s="15" t="n">
        <f aca="false">01_LOreal_Data!F5</f>
        <v>0.289</v>
      </c>
      <c r="G6" s="15"/>
    </row>
    <row r="7" customFormat="false" ht="14.25" hidden="false" customHeight="true" outlineLevel="0" collapsed="false">
      <c r="A7" s="13" t="n">
        <v>2022</v>
      </c>
      <c r="B7" s="14" t="n">
        <f aca="false">01_LOreal_Data!B6</f>
        <v>38260.6</v>
      </c>
      <c r="C7" s="15" t="n">
        <f aca="false">01_LOreal_Data!C6</f>
        <v>0.184993619841673</v>
      </c>
      <c r="D7" s="15" t="n">
        <f aca="false">01_LOreal_Data!D6</f>
        <v>0.109</v>
      </c>
      <c r="E7" s="15" t="n">
        <f aca="false">01_LOreal_Data!G6</f>
        <v>0.089</v>
      </c>
      <c r="F7" s="15" t="n">
        <f aca="false">01_LOreal_Data!F6</f>
        <v>0.28</v>
      </c>
      <c r="G7" s="15" t="n">
        <f aca="false">F7-F6</f>
        <v>-0.00899999999999995</v>
      </c>
    </row>
    <row r="8" customFormat="false" ht="14.25" hidden="false" customHeight="true" outlineLevel="0" collapsed="false">
      <c r="A8" s="13" t="n">
        <v>2023</v>
      </c>
      <c r="B8" s="14" t="n">
        <f aca="false">01_LOreal_Data!B7</f>
        <v>41182.5</v>
      </c>
      <c r="C8" s="15" t="n">
        <f aca="false">01_LOreal_Data!C7</f>
        <v>0.0763683789590337</v>
      </c>
      <c r="D8" s="15" t="n">
        <f aca="false">01_LOreal_Data!D7</f>
        <v>0.11</v>
      </c>
      <c r="E8" s="15" t="n">
        <f aca="false">01_LOreal_Data!G7</f>
        <v>0.095</v>
      </c>
      <c r="F8" s="15" t="n">
        <f aca="false">01_LOreal_Data!F7</f>
        <v>0.27</v>
      </c>
      <c r="G8" s="15" t="n">
        <f aca="false">F8-F7</f>
        <v>-0.01</v>
      </c>
    </row>
    <row r="9" customFormat="false" ht="14.25" hidden="false" customHeight="true" outlineLevel="0" collapsed="false">
      <c r="A9" s="13" t="n">
        <v>2024</v>
      </c>
      <c r="B9" s="14" t="n">
        <f aca="false">01_LOreal_Data!B8</f>
        <v>43486.8</v>
      </c>
      <c r="C9" s="15" t="n">
        <f aca="false">01_LOreal_Data!C8</f>
        <v>0.055953378255327</v>
      </c>
      <c r="D9" s="15" t="n">
        <f aca="false">01_LOreal_Data!D8</f>
        <v>0.051</v>
      </c>
      <c r="E9" s="15" t="n">
        <f aca="false">01_LOreal_Data!G8</f>
        <v>0.078</v>
      </c>
      <c r="F9" s="15" t="n">
        <f aca="false">01_LOreal_Data!F8</f>
        <v>0.282</v>
      </c>
      <c r="G9" s="15" t="n">
        <f aca="false">F9-F8</f>
        <v>0.012</v>
      </c>
    </row>
    <row r="10" customFormat="false" ht="14.25" hidden="false" customHeight="true" outlineLevel="0" collapsed="false">
      <c r="A10" s="13" t="n">
        <v>2025</v>
      </c>
      <c r="B10" s="14" t="n">
        <f aca="false">01_LOreal_Data!B9</f>
        <v>44052</v>
      </c>
      <c r="C10" s="15" t="n">
        <f aca="false">01_LOreal_Data!C9</f>
        <v>0.0129970473798946</v>
      </c>
      <c r="D10" s="15" t="n">
        <f aca="false">01_LOreal_Data!D9</f>
        <v>0.04</v>
      </c>
      <c r="E10" s="15" t="n">
        <f aca="false">01_LOreal_Data!G9</f>
        <v>0.127</v>
      </c>
      <c r="F10" s="15" t="n">
        <f aca="false">01_LOreal_Data!F9</f>
        <v>0.302</v>
      </c>
      <c r="G10" s="15" t="n">
        <f aca="false">F10-F9</f>
        <v>0.02</v>
      </c>
      <c r="H10" s="1" t="s">
        <v>53</v>
      </c>
    </row>
    <row r="13" customFormat="false" ht="14.25" hidden="false" customHeight="true" outlineLevel="0" collapsed="false">
      <c r="A13" s="4" t="s">
        <v>54</v>
      </c>
    </row>
    <row r="14" customFormat="false" ht="30" hidden="false" customHeight="true" outlineLevel="0" collapsed="false">
      <c r="A14" s="12" t="s">
        <v>55</v>
      </c>
      <c r="B14" s="12" t="s">
        <v>56</v>
      </c>
      <c r="C14" s="12" t="s">
        <v>57</v>
      </c>
      <c r="D14" s="12" t="s">
        <v>58</v>
      </c>
      <c r="E14" s="12" t="s">
        <v>59</v>
      </c>
      <c r="F14" s="12" t="s">
        <v>60</v>
      </c>
    </row>
    <row r="15" customFormat="false" ht="14.25" hidden="false" customHeight="true" outlineLevel="0" collapsed="false">
      <c r="A15" s="13" t="s">
        <v>61</v>
      </c>
      <c r="B15" s="13" t="n">
        <v>2021</v>
      </c>
      <c r="C15" s="13" t="n">
        <v>2025</v>
      </c>
      <c r="D15" s="14" t="n">
        <f aca="false">01_LOreal_Data!B5</f>
        <v>32287.6</v>
      </c>
      <c r="E15" s="14" t="n">
        <f aca="false">01_LOreal_Data!B9</f>
        <v>44052</v>
      </c>
      <c r="F15" s="16" t="n">
        <f aca="false">(E15/D15)^(1/(C15-B15))-1</f>
        <v>0.0807679731433397</v>
      </c>
    </row>
    <row r="16" customFormat="false" ht="14.25" hidden="false" customHeight="true" outlineLevel="0" collapsed="false">
      <c r="A16" s="13" t="s">
        <v>62</v>
      </c>
      <c r="B16" s="13" t="n">
        <v>2021</v>
      </c>
      <c r="C16" s="13" t="n">
        <v>2025</v>
      </c>
      <c r="D16" s="14" t="n">
        <f aca="false">01_LOreal_Data!E5</f>
        <v>9300</v>
      </c>
      <c r="E16" s="14" t="n">
        <f aca="false">01_LOreal_Data!E9</f>
        <v>13300</v>
      </c>
      <c r="F16" s="16" t="n">
        <f aca="false">(E16/D16)^(1/(C16-B16))-1</f>
        <v>0.093558883971439</v>
      </c>
    </row>
    <row r="18" customFormat="false" ht="42" hidden="false" customHeight="true" outlineLevel="0" collapsed="false">
      <c r="A18" s="11" t="s">
        <v>63</v>
      </c>
      <c r="B18" s="11"/>
      <c r="C18" s="11"/>
      <c r="D18" s="11"/>
      <c r="E18" s="11"/>
      <c r="F18" s="11"/>
      <c r="G18" s="11"/>
    </row>
    <row r="20" customFormat="false" ht="14.25" hidden="false" customHeight="true" outlineLevel="0" collapsed="false">
      <c r="A20" s="4" t="s">
        <v>64</v>
      </c>
    </row>
    <row r="21" customFormat="false" ht="30" hidden="false" customHeight="true" outlineLevel="0" collapsed="false">
      <c r="A21" s="12" t="s">
        <v>36</v>
      </c>
      <c r="B21" s="12" t="s">
        <v>65</v>
      </c>
      <c r="C21" s="12" t="s">
        <v>66</v>
      </c>
      <c r="D21" s="12" t="s">
        <v>67</v>
      </c>
    </row>
    <row r="22" customFormat="false" ht="14.25" hidden="false" customHeight="true" outlineLevel="0" collapsed="false">
      <c r="A22" s="13" t="n">
        <v>2021</v>
      </c>
      <c r="B22" s="17" t="n">
        <f aca="false">(01_LOreal_Data!B5/01_LOreal_Data!B5)*100</f>
        <v>100</v>
      </c>
      <c r="C22" s="17" t="n">
        <f aca="false">(01_LOreal_Data!E5/01_LOreal_Data!E5)*100</f>
        <v>100</v>
      </c>
      <c r="D22" s="17" t="n">
        <f aca="false">B22-C22</f>
        <v>0</v>
      </c>
    </row>
    <row r="23" customFormat="false" ht="14.25" hidden="false" customHeight="true" outlineLevel="0" collapsed="false">
      <c r="A23" s="13" t="n">
        <v>2022</v>
      </c>
      <c r="B23" s="17" t="n">
        <f aca="false">(01_LOreal_Data!B6/01_LOreal_Data!B5)*100</f>
        <v>118.499361984167</v>
      </c>
      <c r="C23" s="17" t="n">
        <f aca="false">(01_LOreal_Data!E6/01_LOreal_Data!E5)*100</f>
        <v>116.129032258065</v>
      </c>
      <c r="D23" s="17" t="n">
        <f aca="false">B23-C23</f>
        <v>2.37032972610278</v>
      </c>
    </row>
    <row r="24" customFormat="false" ht="14.25" hidden="false" customHeight="true" outlineLevel="0" collapsed="false">
      <c r="A24" s="13" t="n">
        <v>2023</v>
      </c>
      <c r="B24" s="17" t="n">
        <f aca="false">(01_LOreal_Data!B7/01_LOreal_Data!B5)*100</f>
        <v>127.548966166578</v>
      </c>
      <c r="C24" s="17" t="n">
        <f aca="false">(01_LOreal_Data!E7/01_LOreal_Data!E5)*100</f>
        <v>120.430107526882</v>
      </c>
      <c r="D24" s="17" t="n">
        <f aca="false">B24-C24</f>
        <v>7.11885863969617</v>
      </c>
    </row>
    <row r="25" customFormat="false" ht="14.25" hidden="false" customHeight="true" outlineLevel="0" collapsed="false">
      <c r="A25" s="13" t="n">
        <v>2024</v>
      </c>
      <c r="B25" s="17" t="n">
        <f aca="false">(01_LOreal_Data!B8/01_LOreal_Data!B5)*100</f>
        <v>134.685761716572</v>
      </c>
      <c r="C25" s="17" t="n">
        <f aca="false">(01_LOreal_Data!E8/01_LOreal_Data!E5)*100</f>
        <v>132.258064516129</v>
      </c>
      <c r="D25" s="17" t="n">
        <f aca="false">B25-C25</f>
        <v>2.42769720044331</v>
      </c>
    </row>
    <row r="26" customFormat="false" ht="14.25" hidden="false" customHeight="true" outlineLevel="0" collapsed="false">
      <c r="A26" s="13" t="n">
        <v>2025</v>
      </c>
      <c r="B26" s="17" t="n">
        <f aca="false">(01_LOreal_Data!B9/01_LOreal_Data!B5)*100</f>
        <v>136.436278943</v>
      </c>
      <c r="C26" s="17" t="n">
        <f aca="false">(01_LOreal_Data!E9/01_LOreal_Data!E5)*100</f>
        <v>143.010752688172</v>
      </c>
      <c r="D26" s="17" t="n">
        <f aca="false">B26-C26</f>
        <v>-6.57447374517227</v>
      </c>
    </row>
    <row r="28" customFormat="false" ht="42" hidden="false" customHeight="true" outlineLevel="0" collapsed="false">
      <c r="A28" s="11" t="s">
        <v>68</v>
      </c>
      <c r="B28" s="11"/>
      <c r="C28" s="11"/>
      <c r="D28" s="11"/>
      <c r="E28" s="11"/>
      <c r="F28" s="11"/>
      <c r="G28" s="11"/>
    </row>
  </sheetData>
  <mergeCells count="4">
    <mergeCell ref="A1:F1"/>
    <mergeCell ref="A2:F2"/>
    <mergeCell ref="A18:G18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F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6"/>
  </cols>
  <sheetData>
    <row r="1" customFormat="false" ht="30" hidden="false" customHeight="true" outlineLevel="0" collapsed="false">
      <c r="A1" s="2" t="s">
        <v>69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70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7" t="s">
        <v>71</v>
      </c>
      <c r="B4" s="7" t="s">
        <v>72</v>
      </c>
      <c r="C4" s="7" t="s">
        <v>36</v>
      </c>
    </row>
    <row r="5" customFormat="false" ht="14.25" hidden="false" customHeight="true" outlineLevel="0" collapsed="false">
      <c r="A5" s="18" t="n">
        <v>43466</v>
      </c>
      <c r="B5" s="19" t="n">
        <v>28419</v>
      </c>
      <c r="C5" s="8" t="n">
        <v>2019</v>
      </c>
    </row>
    <row r="6" customFormat="false" ht="14.25" hidden="false" customHeight="true" outlineLevel="0" collapsed="false">
      <c r="A6" s="18" t="n">
        <v>43497</v>
      </c>
      <c r="B6" s="19" t="n">
        <v>28763</v>
      </c>
      <c r="C6" s="8" t="n">
        <v>2019</v>
      </c>
    </row>
    <row r="7" customFormat="false" ht="14.25" hidden="false" customHeight="true" outlineLevel="0" collapsed="false">
      <c r="A7" s="18" t="n">
        <v>43525</v>
      </c>
      <c r="B7" s="19" t="n">
        <v>28653</v>
      </c>
      <c r="C7" s="8" t="n">
        <v>2019</v>
      </c>
    </row>
    <row r="8" customFormat="false" ht="14.25" hidden="false" customHeight="true" outlineLevel="0" collapsed="false">
      <c r="A8" s="18" t="n">
        <v>43556</v>
      </c>
      <c r="B8" s="19" t="n">
        <v>28584</v>
      </c>
      <c r="C8" s="8" t="n">
        <v>2019</v>
      </c>
    </row>
    <row r="9" customFormat="false" ht="14.25" hidden="false" customHeight="true" outlineLevel="0" collapsed="false">
      <c r="A9" s="18" t="n">
        <v>43586</v>
      </c>
      <c r="B9" s="19" t="n">
        <v>28791</v>
      </c>
      <c r="C9" s="8" t="n">
        <v>2019</v>
      </c>
    </row>
    <row r="10" customFormat="false" ht="14.25" hidden="false" customHeight="true" outlineLevel="0" collapsed="false">
      <c r="A10" s="18" t="n">
        <v>43617</v>
      </c>
      <c r="B10" s="19" t="n">
        <v>28636</v>
      </c>
      <c r="C10" s="8" t="n">
        <v>2019</v>
      </c>
    </row>
    <row r="11" customFormat="false" ht="14.25" hidden="false" customHeight="true" outlineLevel="0" collapsed="false">
      <c r="A11" s="18" t="n">
        <v>43647</v>
      </c>
      <c r="B11" s="19" t="n">
        <v>28497</v>
      </c>
      <c r="C11" s="8" t="n">
        <v>2019</v>
      </c>
    </row>
    <row r="12" customFormat="false" ht="14.25" hidden="false" customHeight="true" outlineLevel="0" collapsed="false">
      <c r="A12" s="18" t="n">
        <v>43678</v>
      </c>
      <c r="B12" s="19" t="n">
        <v>28493</v>
      </c>
      <c r="C12" s="8" t="n">
        <v>2019</v>
      </c>
    </row>
    <row r="13" customFormat="false" ht="14.25" hidden="false" customHeight="true" outlineLevel="0" collapsed="false">
      <c r="A13" s="18" t="n">
        <v>43709</v>
      </c>
      <c r="B13" s="19" t="n">
        <v>28425</v>
      </c>
      <c r="C13" s="8" t="n">
        <v>2019</v>
      </c>
    </row>
    <row r="14" customFormat="false" ht="14.25" hidden="false" customHeight="true" outlineLevel="0" collapsed="false">
      <c r="A14" s="18" t="n">
        <v>43739</v>
      </c>
      <c r="B14" s="19" t="n">
        <v>28704</v>
      </c>
      <c r="C14" s="8" t="n">
        <v>2019</v>
      </c>
    </row>
    <row r="15" customFormat="false" ht="14.25" hidden="false" customHeight="true" outlineLevel="0" collapsed="false">
      <c r="A15" s="18" t="n">
        <v>43770</v>
      </c>
      <c r="B15" s="19" t="n">
        <v>28465</v>
      </c>
      <c r="C15" s="8" t="n">
        <v>2019</v>
      </c>
    </row>
    <row r="16" customFormat="false" ht="14.25" hidden="false" customHeight="true" outlineLevel="0" collapsed="false">
      <c r="A16" s="18" t="n">
        <v>43800</v>
      </c>
      <c r="B16" s="19" t="n">
        <v>28126</v>
      </c>
      <c r="C16" s="8" t="n">
        <v>2019</v>
      </c>
    </row>
    <row r="17" customFormat="false" ht="14.25" hidden="false" customHeight="true" outlineLevel="0" collapsed="false">
      <c r="A17" s="18" t="n">
        <v>43831</v>
      </c>
      <c r="B17" s="19" t="n">
        <v>28935</v>
      </c>
      <c r="C17" s="8" t="n">
        <v>2020</v>
      </c>
    </row>
    <row r="18" customFormat="false" ht="14.25" hidden="false" customHeight="true" outlineLevel="0" collapsed="false">
      <c r="A18" s="18" t="n">
        <v>43862</v>
      </c>
      <c r="B18" s="19" t="n">
        <v>29230</v>
      </c>
      <c r="C18" s="8" t="n">
        <v>2020</v>
      </c>
    </row>
    <row r="19" customFormat="false" ht="14.25" hidden="false" customHeight="true" outlineLevel="0" collapsed="false">
      <c r="A19" s="18" t="n">
        <v>43891</v>
      </c>
      <c r="B19" s="19" t="n">
        <v>30701</v>
      </c>
      <c r="C19" s="8" t="n">
        <v>2020</v>
      </c>
    </row>
    <row r="20" customFormat="false" ht="14.25" hidden="false" customHeight="true" outlineLevel="0" collapsed="false">
      <c r="A20" s="18" t="n">
        <v>43922</v>
      </c>
      <c r="B20" s="19" t="n">
        <v>26149</v>
      </c>
      <c r="C20" s="8" t="n">
        <v>2020</v>
      </c>
    </row>
    <row r="21" customFormat="false" ht="14.25" hidden="false" customHeight="true" outlineLevel="0" collapsed="false">
      <c r="A21" s="18" t="n">
        <v>43952</v>
      </c>
      <c r="B21" s="19" t="n">
        <v>26601</v>
      </c>
      <c r="C21" s="8" t="n">
        <v>2020</v>
      </c>
    </row>
    <row r="22" customFormat="false" ht="14.25" hidden="false" customHeight="true" outlineLevel="0" collapsed="false">
      <c r="A22" s="18" t="n">
        <v>43983</v>
      </c>
      <c r="B22" s="19" t="n">
        <v>28472</v>
      </c>
      <c r="C22" s="8" t="n">
        <v>2020</v>
      </c>
    </row>
    <row r="23" customFormat="false" ht="14.25" hidden="false" customHeight="true" outlineLevel="0" collapsed="false">
      <c r="A23" s="18" t="n">
        <v>44013</v>
      </c>
      <c r="B23" s="19" t="n">
        <v>30081</v>
      </c>
      <c r="C23" s="8" t="n">
        <v>2020</v>
      </c>
    </row>
    <row r="24" customFormat="false" ht="14.25" hidden="false" customHeight="true" outlineLevel="0" collapsed="false">
      <c r="A24" s="18" t="n">
        <v>44044</v>
      </c>
      <c r="B24" s="19" t="n">
        <v>29524</v>
      </c>
      <c r="C24" s="8" t="n">
        <v>2020</v>
      </c>
    </row>
    <row r="25" customFormat="false" ht="14.25" hidden="false" customHeight="true" outlineLevel="0" collapsed="false">
      <c r="A25" s="18" t="n">
        <v>44075</v>
      </c>
      <c r="B25" s="19" t="n">
        <v>30012</v>
      </c>
      <c r="C25" s="8" t="n">
        <v>2020</v>
      </c>
    </row>
    <row r="26" customFormat="false" ht="14.25" hidden="false" customHeight="true" outlineLevel="0" collapsed="false">
      <c r="A26" s="18" t="n">
        <v>44105</v>
      </c>
      <c r="B26" s="19" t="n">
        <v>29987</v>
      </c>
      <c r="C26" s="8" t="n">
        <v>2020</v>
      </c>
    </row>
    <row r="27" customFormat="false" ht="14.25" hidden="false" customHeight="true" outlineLevel="0" collapsed="false">
      <c r="A27" s="18" t="n">
        <v>44136</v>
      </c>
      <c r="B27" s="19" t="n">
        <v>29583</v>
      </c>
      <c r="C27" s="8" t="n">
        <v>2020</v>
      </c>
    </row>
    <row r="28" customFormat="false" ht="14.25" hidden="false" customHeight="true" outlineLevel="0" collapsed="false">
      <c r="A28" s="18" t="n">
        <v>44166</v>
      </c>
      <c r="B28" s="19" t="n">
        <v>29717</v>
      </c>
      <c r="C28" s="8" t="n">
        <v>2020</v>
      </c>
    </row>
    <row r="29" customFormat="false" ht="14.25" hidden="false" customHeight="true" outlineLevel="0" collapsed="false">
      <c r="A29" s="18" t="n">
        <v>44197</v>
      </c>
      <c r="B29" s="19" t="n">
        <v>29812</v>
      </c>
      <c r="C29" s="8" t="n">
        <v>2021</v>
      </c>
    </row>
    <row r="30" customFormat="false" ht="14.25" hidden="false" customHeight="true" outlineLevel="0" collapsed="false">
      <c r="A30" s="18" t="n">
        <v>44228</v>
      </c>
      <c r="B30" s="19" t="n">
        <v>29636</v>
      </c>
      <c r="C30" s="8" t="n">
        <v>2021</v>
      </c>
    </row>
    <row r="31" customFormat="false" ht="14.25" hidden="false" customHeight="true" outlineLevel="0" collapsed="false">
      <c r="A31" s="18" t="n">
        <v>44256</v>
      </c>
      <c r="B31" s="19" t="n">
        <v>32090</v>
      </c>
      <c r="C31" s="8" t="n">
        <v>2021</v>
      </c>
    </row>
    <row r="32" customFormat="false" ht="14.25" hidden="false" customHeight="true" outlineLevel="0" collapsed="false">
      <c r="A32" s="18" t="n">
        <v>44287</v>
      </c>
      <c r="B32" s="19" t="n">
        <v>31957</v>
      </c>
      <c r="C32" s="8" t="n">
        <v>2021</v>
      </c>
    </row>
    <row r="33" customFormat="false" ht="14.25" hidden="false" customHeight="true" outlineLevel="0" collapsed="false">
      <c r="A33" s="18" t="n">
        <v>44317</v>
      </c>
      <c r="B33" s="19" t="n">
        <v>31321</v>
      </c>
      <c r="C33" s="8" t="n">
        <v>2021</v>
      </c>
    </row>
    <row r="34" customFormat="false" ht="14.25" hidden="false" customHeight="true" outlineLevel="0" collapsed="false">
      <c r="A34" s="18" t="n">
        <v>44348</v>
      </c>
      <c r="B34" s="19" t="n">
        <v>32334</v>
      </c>
      <c r="C34" s="8" t="n">
        <v>2021</v>
      </c>
    </row>
    <row r="35" customFormat="false" ht="14.25" hidden="false" customHeight="true" outlineLevel="0" collapsed="false">
      <c r="A35" s="18" t="n">
        <v>44378</v>
      </c>
      <c r="B35" s="19" t="n">
        <v>32225</v>
      </c>
      <c r="C35" s="8" t="n">
        <v>2021</v>
      </c>
    </row>
    <row r="36" customFormat="false" ht="14.25" hidden="false" customHeight="true" outlineLevel="0" collapsed="false">
      <c r="A36" s="18" t="n">
        <v>44409</v>
      </c>
      <c r="B36" s="19" t="n">
        <v>32429</v>
      </c>
      <c r="C36" s="8" t="n">
        <v>2021</v>
      </c>
    </row>
    <row r="37" customFormat="false" ht="14.25" hidden="false" customHeight="true" outlineLevel="0" collapsed="false">
      <c r="A37" s="18" t="n">
        <v>44440</v>
      </c>
      <c r="B37" s="19" t="n">
        <v>32183</v>
      </c>
      <c r="C37" s="8" t="n">
        <v>2021</v>
      </c>
    </row>
    <row r="38" customFormat="false" ht="14.25" hidden="false" customHeight="true" outlineLevel="0" collapsed="false">
      <c r="A38" s="18" t="n">
        <v>44470</v>
      </c>
      <c r="B38" s="19" t="n">
        <v>32099</v>
      </c>
      <c r="C38" s="8" t="n">
        <v>2021</v>
      </c>
    </row>
    <row r="39" customFormat="false" ht="14.25" hidden="false" customHeight="true" outlineLevel="0" collapsed="false">
      <c r="A39" s="18" t="n">
        <v>44501</v>
      </c>
      <c r="B39" s="19" t="n">
        <v>32490</v>
      </c>
      <c r="C39" s="8" t="n">
        <v>2021</v>
      </c>
    </row>
    <row r="40" customFormat="false" ht="14.25" hidden="false" customHeight="true" outlineLevel="0" collapsed="false">
      <c r="A40" s="18" t="n">
        <v>44531</v>
      </c>
      <c r="B40" s="19" t="n">
        <v>32390</v>
      </c>
      <c r="C40" s="8" t="n">
        <v>2021</v>
      </c>
    </row>
    <row r="41" customFormat="false" ht="14.25" hidden="false" customHeight="true" outlineLevel="0" collapsed="false">
      <c r="A41" s="18" t="n">
        <v>44562</v>
      </c>
      <c r="B41" s="19" t="n">
        <v>32664</v>
      </c>
      <c r="C41" s="8" t="n">
        <v>2022</v>
      </c>
    </row>
    <row r="42" customFormat="false" ht="14.25" hidden="false" customHeight="true" outlineLevel="0" collapsed="false">
      <c r="A42" s="18" t="n">
        <v>44593</v>
      </c>
      <c r="B42" s="19" t="n">
        <v>32416</v>
      </c>
      <c r="C42" s="8" t="n">
        <v>2022</v>
      </c>
    </row>
    <row r="43" customFormat="false" ht="14.25" hidden="false" customHeight="true" outlineLevel="0" collapsed="false">
      <c r="A43" s="18" t="n">
        <v>44621</v>
      </c>
      <c r="B43" s="19" t="n">
        <v>32553</v>
      </c>
      <c r="C43" s="8" t="n">
        <v>2022</v>
      </c>
    </row>
    <row r="44" customFormat="false" ht="14.25" hidden="false" customHeight="true" outlineLevel="0" collapsed="false">
      <c r="A44" s="18" t="n">
        <v>44652</v>
      </c>
      <c r="B44" s="19" t="n">
        <v>32838</v>
      </c>
      <c r="C44" s="8" t="n">
        <v>2022</v>
      </c>
    </row>
    <row r="45" customFormat="false" ht="14.25" hidden="false" customHeight="true" outlineLevel="0" collapsed="false">
      <c r="A45" s="18" t="n">
        <v>44682</v>
      </c>
      <c r="B45" s="19" t="n">
        <v>32656</v>
      </c>
      <c r="C45" s="8" t="n">
        <v>2022</v>
      </c>
    </row>
    <row r="46" customFormat="false" ht="14.25" hidden="false" customHeight="true" outlineLevel="0" collapsed="false">
      <c r="A46" s="18" t="n">
        <v>44713</v>
      </c>
      <c r="B46" s="19" t="n">
        <v>33212</v>
      </c>
      <c r="C46" s="8" t="n">
        <v>2022</v>
      </c>
    </row>
    <row r="47" customFormat="false" ht="14.25" hidden="false" customHeight="true" outlineLevel="0" collapsed="false">
      <c r="A47" s="18" t="n">
        <v>44743</v>
      </c>
      <c r="B47" s="19" t="n">
        <v>33431</v>
      </c>
      <c r="C47" s="8" t="n">
        <v>2022</v>
      </c>
    </row>
    <row r="48" customFormat="false" ht="14.25" hidden="false" customHeight="true" outlineLevel="0" collapsed="false">
      <c r="A48" s="18" t="n">
        <v>44774</v>
      </c>
      <c r="B48" s="19" t="n">
        <v>33318</v>
      </c>
      <c r="C48" s="8" t="n">
        <v>2022</v>
      </c>
    </row>
    <row r="49" customFormat="false" ht="14.25" hidden="false" customHeight="true" outlineLevel="0" collapsed="false">
      <c r="A49" s="18" t="n">
        <v>44805</v>
      </c>
      <c r="B49" s="19" t="n">
        <v>33529</v>
      </c>
      <c r="C49" s="8" t="n">
        <v>2022</v>
      </c>
    </row>
    <row r="50" customFormat="false" ht="14.25" hidden="false" customHeight="true" outlineLevel="0" collapsed="false">
      <c r="A50" s="18" t="n">
        <v>44835</v>
      </c>
      <c r="B50" s="19" t="n">
        <v>33673</v>
      </c>
      <c r="C50" s="8" t="n">
        <v>2022</v>
      </c>
    </row>
    <row r="51" customFormat="false" ht="14.25" hidden="false" customHeight="true" outlineLevel="0" collapsed="false">
      <c r="A51" s="18" t="n">
        <v>44866</v>
      </c>
      <c r="B51" s="19" t="n">
        <v>33896</v>
      </c>
      <c r="C51" s="8" t="n">
        <v>2022</v>
      </c>
    </row>
    <row r="52" customFormat="false" ht="14.25" hidden="false" customHeight="true" outlineLevel="0" collapsed="false">
      <c r="A52" s="18" t="n">
        <v>44896</v>
      </c>
      <c r="B52" s="19" t="n">
        <v>33098</v>
      </c>
      <c r="C52" s="8" t="n">
        <v>2022</v>
      </c>
    </row>
    <row r="53" customFormat="false" ht="14.25" hidden="false" customHeight="true" outlineLevel="0" collapsed="false">
      <c r="A53" s="18" t="n">
        <v>44927</v>
      </c>
      <c r="B53" s="19" t="n">
        <v>34603</v>
      </c>
      <c r="C53" s="8" t="n">
        <v>2023</v>
      </c>
    </row>
    <row r="54" customFormat="false" ht="14.25" hidden="false" customHeight="true" outlineLevel="0" collapsed="false">
      <c r="A54" s="18" t="n">
        <v>44958</v>
      </c>
      <c r="B54" s="19" t="n">
        <v>35070</v>
      </c>
      <c r="C54" s="8" t="n">
        <v>2023</v>
      </c>
    </row>
    <row r="55" customFormat="false" ht="14.25" hidden="false" customHeight="true" outlineLevel="0" collapsed="false">
      <c r="A55" s="18" t="n">
        <v>44986</v>
      </c>
      <c r="B55" s="19" t="n">
        <v>35207</v>
      </c>
      <c r="C55" s="8" t="n">
        <v>2023</v>
      </c>
    </row>
    <row r="56" customFormat="false" ht="14.25" hidden="false" customHeight="true" outlineLevel="0" collapsed="false">
      <c r="A56" s="18" t="n">
        <v>45017</v>
      </c>
      <c r="B56" s="19" t="n">
        <v>35493</v>
      </c>
      <c r="C56" s="8" t="n">
        <v>2023</v>
      </c>
    </row>
    <row r="57" customFormat="false" ht="14.25" hidden="false" customHeight="true" outlineLevel="0" collapsed="false">
      <c r="A57" s="18" t="n">
        <v>45047</v>
      </c>
      <c r="B57" s="19" t="n">
        <v>35745</v>
      </c>
      <c r="C57" s="8" t="n">
        <v>2023</v>
      </c>
    </row>
    <row r="58" customFormat="false" ht="14.25" hidden="false" customHeight="true" outlineLevel="0" collapsed="false">
      <c r="A58" s="18" t="n">
        <v>45078</v>
      </c>
      <c r="B58" s="19" t="n">
        <v>35734</v>
      </c>
      <c r="C58" s="8" t="n">
        <v>2023</v>
      </c>
    </row>
    <row r="59" customFormat="false" ht="14.25" hidden="false" customHeight="true" outlineLevel="0" collapsed="false">
      <c r="A59" s="18" t="n">
        <v>45108</v>
      </c>
      <c r="B59" s="19" t="n">
        <v>35455</v>
      </c>
      <c r="C59" s="8" t="n">
        <v>2023</v>
      </c>
    </row>
    <row r="60" customFormat="false" ht="14.25" hidden="false" customHeight="true" outlineLevel="0" collapsed="false">
      <c r="A60" s="18" t="n">
        <v>45139</v>
      </c>
      <c r="B60" s="19" t="n">
        <v>36097</v>
      </c>
      <c r="C60" s="8" t="n">
        <v>2023</v>
      </c>
    </row>
    <row r="61" customFormat="false" ht="14.25" hidden="false" customHeight="true" outlineLevel="0" collapsed="false">
      <c r="A61" s="18" t="n">
        <v>45170</v>
      </c>
      <c r="B61" s="19" t="n">
        <v>36011</v>
      </c>
      <c r="C61" s="8" t="n">
        <v>2023</v>
      </c>
    </row>
    <row r="62" customFormat="false" ht="14.25" hidden="false" customHeight="true" outlineLevel="0" collapsed="false">
      <c r="A62" s="18" t="n">
        <v>45200</v>
      </c>
      <c r="B62" s="19" t="n">
        <v>37298</v>
      </c>
      <c r="C62" s="8" t="n">
        <v>2023</v>
      </c>
    </row>
    <row r="63" customFormat="false" ht="14.25" hidden="false" customHeight="true" outlineLevel="0" collapsed="false">
      <c r="A63" s="18" t="n">
        <v>45231</v>
      </c>
      <c r="B63" s="19" t="n">
        <v>37150</v>
      </c>
      <c r="C63" s="8" t="n">
        <v>2023</v>
      </c>
    </row>
    <row r="64" customFormat="false" ht="14.25" hidden="false" customHeight="true" outlineLevel="0" collapsed="false">
      <c r="A64" s="18" t="n">
        <v>45261</v>
      </c>
      <c r="B64" s="19" t="n">
        <v>36210</v>
      </c>
      <c r="C64" s="8" t="n">
        <v>2023</v>
      </c>
    </row>
    <row r="65" customFormat="false" ht="14.25" hidden="false" customHeight="true" outlineLevel="0" collapsed="false">
      <c r="A65" s="18" t="n">
        <v>45292</v>
      </c>
      <c r="B65" s="19" t="n">
        <v>35827</v>
      </c>
      <c r="C65" s="8" t="n">
        <v>2024</v>
      </c>
    </row>
    <row r="66" customFormat="false" ht="14.25" hidden="false" customHeight="true" outlineLevel="0" collapsed="false">
      <c r="A66" s="18" t="n">
        <v>45323</v>
      </c>
      <c r="B66" s="19" t="n">
        <v>35765</v>
      </c>
      <c r="C66" s="8" t="n">
        <v>2024</v>
      </c>
    </row>
    <row r="67" customFormat="false" ht="14.25" hidden="false" customHeight="true" outlineLevel="0" collapsed="false">
      <c r="A67" s="18" t="n">
        <v>45352</v>
      </c>
      <c r="B67" s="19" t="n">
        <v>35624</v>
      </c>
      <c r="C67" s="8" t="n">
        <v>2024</v>
      </c>
    </row>
    <row r="68" customFormat="false" ht="14.25" hidden="false" customHeight="true" outlineLevel="0" collapsed="false">
      <c r="A68" s="18" t="n">
        <v>45383</v>
      </c>
      <c r="B68" s="19" t="n">
        <v>35778</v>
      </c>
      <c r="C68" s="8" t="n">
        <v>2024</v>
      </c>
    </row>
    <row r="69" customFormat="false" ht="14.25" hidden="false" customHeight="true" outlineLevel="0" collapsed="false">
      <c r="A69" s="18" t="n">
        <v>45413</v>
      </c>
      <c r="B69" s="19" t="n">
        <v>36028</v>
      </c>
      <c r="C69" s="8" t="n">
        <v>2024</v>
      </c>
    </row>
    <row r="70" customFormat="false" ht="14.25" hidden="false" customHeight="true" outlineLevel="0" collapsed="false">
      <c r="A70" s="18" t="n">
        <v>45444</v>
      </c>
      <c r="B70" s="19" t="n">
        <v>36021</v>
      </c>
      <c r="C70" s="8" t="n">
        <v>2024</v>
      </c>
    </row>
    <row r="71" customFormat="false" ht="14.25" hidden="false" customHeight="true" outlineLevel="0" collapsed="false">
      <c r="A71" s="18" t="n">
        <v>45474</v>
      </c>
      <c r="B71" s="19" t="n">
        <v>37535</v>
      </c>
      <c r="C71" s="8" t="n">
        <v>2024</v>
      </c>
    </row>
    <row r="72" customFormat="false" ht="14.25" hidden="false" customHeight="true" outlineLevel="0" collapsed="false">
      <c r="A72" s="18" t="n">
        <v>45505</v>
      </c>
      <c r="B72" s="19" t="n">
        <v>37678</v>
      </c>
      <c r="C72" s="8" t="n">
        <v>2024</v>
      </c>
    </row>
    <row r="73" customFormat="false" ht="14.25" hidden="false" customHeight="true" outlineLevel="0" collapsed="false">
      <c r="A73" s="18" t="n">
        <v>45536</v>
      </c>
      <c r="B73" s="19" t="n">
        <v>38360</v>
      </c>
      <c r="C73" s="8" t="n">
        <v>2024</v>
      </c>
    </row>
    <row r="74" customFormat="false" ht="14.25" hidden="false" customHeight="true" outlineLevel="0" collapsed="false">
      <c r="A74" s="18" t="n">
        <v>45566</v>
      </c>
      <c r="B74" s="19" t="n">
        <v>38196</v>
      </c>
      <c r="C74" s="8" t="n">
        <v>2024</v>
      </c>
    </row>
    <row r="75" customFormat="false" ht="14.25" hidden="false" customHeight="true" outlineLevel="0" collapsed="false">
      <c r="A75" s="18" t="n">
        <v>45597</v>
      </c>
      <c r="B75" s="19" t="n">
        <v>38085</v>
      </c>
      <c r="C75" s="8" t="n">
        <v>2024</v>
      </c>
    </row>
    <row r="76" customFormat="false" ht="14.25" hidden="false" customHeight="true" outlineLevel="0" collapsed="false">
      <c r="A76" s="18" t="n">
        <v>45627</v>
      </c>
      <c r="B76" s="19" t="n">
        <v>37831</v>
      </c>
      <c r="C76" s="8" t="n">
        <v>2024</v>
      </c>
    </row>
    <row r="77" customFormat="false" ht="14.25" hidden="false" customHeight="true" outlineLevel="0" collapsed="false">
      <c r="A77" s="18" t="n">
        <v>45658</v>
      </c>
      <c r="B77" s="19" t="n">
        <v>37806</v>
      </c>
      <c r="C77" s="8" t="n">
        <v>2025</v>
      </c>
    </row>
    <row r="78" customFormat="false" ht="14.25" hidden="false" customHeight="true" outlineLevel="0" collapsed="false">
      <c r="A78" s="18" t="n">
        <v>45689</v>
      </c>
      <c r="B78" s="19" t="n">
        <v>38865</v>
      </c>
      <c r="C78" s="8" t="n">
        <v>2025</v>
      </c>
    </row>
    <row r="79" customFormat="false" ht="14.25" hidden="false" customHeight="true" outlineLevel="0" collapsed="false">
      <c r="A79" s="18" t="n">
        <v>45717</v>
      </c>
      <c r="B79" s="19" t="n">
        <v>39145</v>
      </c>
      <c r="C79" s="8" t="n">
        <v>2025</v>
      </c>
    </row>
    <row r="80" customFormat="false" ht="14.25" hidden="false" customHeight="true" outlineLevel="0" collapsed="false">
      <c r="A80" s="18" t="n">
        <v>45748</v>
      </c>
      <c r="B80" s="19" t="n">
        <v>39198</v>
      </c>
      <c r="C80" s="8" t="n">
        <v>2025</v>
      </c>
    </row>
    <row r="81" customFormat="false" ht="14.25" hidden="false" customHeight="true" outlineLevel="0" collapsed="false">
      <c r="A81" s="18" t="n">
        <v>45778</v>
      </c>
      <c r="B81" s="19" t="n">
        <v>39143</v>
      </c>
      <c r="C81" s="8" t="n">
        <v>2025</v>
      </c>
    </row>
    <row r="82" customFormat="false" ht="14.25" hidden="false" customHeight="true" outlineLevel="0" collapsed="false">
      <c r="A82" s="18" t="n">
        <v>45809</v>
      </c>
      <c r="B82" s="19" t="n">
        <v>39799</v>
      </c>
      <c r="C82" s="8" t="n">
        <v>2025</v>
      </c>
    </row>
    <row r="83" customFormat="false" ht="14.25" hidden="false" customHeight="true" outlineLevel="0" collapsed="false">
      <c r="A83" s="18" t="n">
        <v>45839</v>
      </c>
      <c r="B83" s="19" t="n">
        <v>40061</v>
      </c>
      <c r="C83" s="8" t="n">
        <v>2025</v>
      </c>
    </row>
    <row r="84" customFormat="false" ht="14.25" hidden="false" customHeight="true" outlineLevel="0" collapsed="false">
      <c r="A84" s="18" t="n">
        <v>45870</v>
      </c>
      <c r="B84" s="19" t="n">
        <v>40118</v>
      </c>
      <c r="C84" s="8" t="n">
        <v>2025</v>
      </c>
    </row>
    <row r="85" customFormat="false" ht="14.25" hidden="false" customHeight="true" outlineLevel="0" collapsed="false">
      <c r="A85" s="18" t="n">
        <v>45901</v>
      </c>
      <c r="B85" s="19" t="n">
        <v>40637</v>
      </c>
      <c r="C85" s="8" t="n">
        <v>2025</v>
      </c>
    </row>
    <row r="86" customFormat="false" ht="14.25" hidden="false" customHeight="true" outlineLevel="0" collapsed="false">
      <c r="A86" s="18" t="n">
        <v>45931</v>
      </c>
      <c r="B86" s="19" t="n">
        <v>40456</v>
      </c>
      <c r="C86" s="8" t="n">
        <v>2025</v>
      </c>
    </row>
    <row r="87" customFormat="false" ht="14.25" hidden="false" customHeight="true" outlineLevel="0" collapsed="false">
      <c r="A87" s="18" t="n">
        <v>45962</v>
      </c>
      <c r="B87" s="19" t="n">
        <v>40222</v>
      </c>
      <c r="C87" s="8" t="n">
        <v>2025</v>
      </c>
    </row>
    <row r="88" customFormat="false" ht="14.25" hidden="false" customHeight="true" outlineLevel="0" collapsed="false">
      <c r="A88" s="18" t="n">
        <v>45992</v>
      </c>
      <c r="B88" s="19" t="n">
        <v>40119</v>
      </c>
      <c r="C88" s="8" t="n">
        <v>2025</v>
      </c>
    </row>
    <row r="89" customFormat="false" ht="14.25" hidden="false" customHeight="true" outlineLevel="0" collapsed="false">
      <c r="A89" s="18" t="n">
        <v>46023</v>
      </c>
      <c r="B89" s="19" t="n">
        <v>38913</v>
      </c>
      <c r="C89" s="8" t="n">
        <v>2026</v>
      </c>
    </row>
    <row r="90" customFormat="false" ht="14.25" hidden="false" customHeight="true" outlineLevel="0" collapsed="false">
      <c r="A90" s="18" t="n">
        <v>46054</v>
      </c>
      <c r="B90" s="19" t="n">
        <v>39681</v>
      </c>
      <c r="C90" s="8" t="n">
        <v>2026</v>
      </c>
    </row>
    <row r="91" customFormat="false" ht="14.25" hidden="false" customHeight="true" outlineLevel="0" collapsed="false">
      <c r="A91" s="18" t="n">
        <v>46082</v>
      </c>
      <c r="B91" s="19" t="n">
        <v>40178</v>
      </c>
      <c r="C91" s="8" t="n">
        <v>2026</v>
      </c>
    </row>
    <row r="92" customFormat="false" ht="14.25" hidden="false" customHeight="true" outlineLevel="0" collapsed="false">
      <c r="A92" s="18" t="n">
        <v>46113</v>
      </c>
      <c r="B92" s="19" t="n">
        <v>40086</v>
      </c>
      <c r="C92" s="8" t="n">
        <v>2026</v>
      </c>
    </row>
    <row r="93" customFormat="false" ht="14.25" hidden="false" customHeight="true" outlineLevel="0" collapsed="false">
      <c r="A93" s="18" t="n">
        <v>46143</v>
      </c>
      <c r="B93" s="19" t="n">
        <v>40372</v>
      </c>
      <c r="C93" s="8" t="n">
        <v>2026</v>
      </c>
    </row>
    <row r="94" customFormat="false" ht="14.25" hidden="false" customHeight="true" outlineLevel="0" collapsed="false">
      <c r="A94" s="18" t="n">
        <v>46174</v>
      </c>
      <c r="B94" s="19" t="n">
        <v>40224</v>
      </c>
      <c r="C94" s="8" t="n">
        <v>2026</v>
      </c>
    </row>
    <row r="97" customFormat="false" ht="14.25" hidden="false" customHeight="true" outlineLevel="0" collapsed="false">
      <c r="A97" s="4" t="s">
        <v>73</v>
      </c>
    </row>
    <row r="98" customFormat="false" ht="30" hidden="false" customHeight="true" outlineLevel="0" collapsed="false">
      <c r="A98" s="7" t="s">
        <v>36</v>
      </c>
      <c r="B98" s="7" t="s">
        <v>74</v>
      </c>
      <c r="C98" s="7" t="s">
        <v>75</v>
      </c>
      <c r="D98" s="7" t="s">
        <v>76</v>
      </c>
    </row>
    <row r="99" customFormat="false" ht="14.25" hidden="false" customHeight="true" outlineLevel="0" collapsed="false">
      <c r="A99" s="8" t="n">
        <v>2021</v>
      </c>
      <c r="B99" s="19" t="n">
        <f aca="false">SUMIFS($B$5:$B$94,$C$5:$C$94,A99)</f>
        <v>380966</v>
      </c>
      <c r="C99" s="19" t="n">
        <f aca="false">AVERAGEIFS($B$5:$B$94,$C$5:$C$94,A99)</f>
        <v>31747.1666666667</v>
      </c>
      <c r="D99" s="20"/>
    </row>
    <row r="100" customFormat="false" ht="14.25" hidden="false" customHeight="true" outlineLevel="0" collapsed="false">
      <c r="A100" s="8" t="n">
        <v>2022</v>
      </c>
      <c r="B100" s="19" t="n">
        <f aca="false">SUMIFS($B$5:$B$94,$C$5:$C$94,A100)</f>
        <v>397284</v>
      </c>
      <c r="C100" s="19" t="n">
        <f aca="false">AVERAGEIFS($B$5:$B$94,$C$5:$C$94,A100)</f>
        <v>33107</v>
      </c>
      <c r="D100" s="20" t="n">
        <f aca="false">(B100/B99)-1</f>
        <v>0.042833218712431</v>
      </c>
    </row>
    <row r="101" customFormat="false" ht="14.25" hidden="false" customHeight="true" outlineLevel="0" collapsed="false">
      <c r="A101" s="8" t="n">
        <v>2023</v>
      </c>
      <c r="B101" s="19" t="n">
        <f aca="false">SUMIFS($B$5:$B$94,$C$5:$C$94,A101)</f>
        <v>430073</v>
      </c>
      <c r="C101" s="19" t="n">
        <f aca="false">AVERAGEIFS($B$5:$B$94,$C$5:$C$94,A101)</f>
        <v>35839.4166666667</v>
      </c>
      <c r="D101" s="20" t="n">
        <f aca="false">(B101/B100)-1</f>
        <v>0.0825328983800002</v>
      </c>
    </row>
    <row r="102" customFormat="false" ht="14.25" hidden="false" customHeight="true" outlineLevel="0" collapsed="false">
      <c r="A102" s="8" t="n">
        <v>2024</v>
      </c>
      <c r="B102" s="19" t="n">
        <f aca="false">SUMIFS($B$5:$B$94,$C$5:$C$94,A102)</f>
        <v>442728</v>
      </c>
      <c r="C102" s="19" t="n">
        <f aca="false">AVERAGEIFS($B$5:$B$94,$C$5:$C$94,A102)</f>
        <v>36894</v>
      </c>
      <c r="D102" s="20" t="n">
        <f aca="false">(B102/B101)-1</f>
        <v>0.0294252371109092</v>
      </c>
    </row>
    <row r="103" customFormat="false" ht="14.25" hidden="false" customHeight="true" outlineLevel="0" collapsed="false">
      <c r="A103" s="8" t="n">
        <v>2025</v>
      </c>
      <c r="B103" s="19" t="n">
        <f aca="false">SUMIFS($B$5:$B$94,$C$5:$C$94,A103)</f>
        <v>475569</v>
      </c>
      <c r="C103" s="19" t="n">
        <f aca="false">AVERAGEIFS($B$5:$B$94,$C$5:$C$94,A103)</f>
        <v>39630.75</v>
      </c>
      <c r="D103" s="20" t="n">
        <f aca="false">(B103/B102)-1</f>
        <v>0.0741787282484956</v>
      </c>
    </row>
    <row r="106" customFormat="false" ht="42" hidden="false" customHeight="true" outlineLevel="0" collapsed="false">
      <c r="A106" s="11" t="s">
        <v>77</v>
      </c>
      <c r="B106" s="11"/>
      <c r="C106" s="11"/>
      <c r="D106" s="11"/>
      <c r="E106" s="11"/>
      <c r="F106" s="11"/>
    </row>
  </sheetData>
  <mergeCells count="3">
    <mergeCell ref="A1:F1"/>
    <mergeCell ref="A2:F2"/>
    <mergeCell ref="A106:F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2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79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7" t="s">
        <v>80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  <c r="G4" s="7" t="s">
        <v>86</v>
      </c>
    </row>
    <row r="5" customFormat="false" ht="14.25" hidden="false" customHeight="true" outlineLevel="0" collapsed="false">
      <c r="A5" s="8" t="s">
        <v>87</v>
      </c>
      <c r="B5" s="21" t="n">
        <v>53.76</v>
      </c>
      <c r="C5" s="21" t="n">
        <v>56.94</v>
      </c>
      <c r="D5" s="21" t="n">
        <v>56.02</v>
      </c>
      <c r="E5" s="21" t="n">
        <v>58.06</v>
      </c>
      <c r="F5" s="21" t="n">
        <v>60.2</v>
      </c>
      <c r="G5" s="21" t="n">
        <v>62.35</v>
      </c>
    </row>
    <row r="6" customFormat="false" ht="14.25" hidden="false" customHeight="true" outlineLevel="0" collapsed="false">
      <c r="A6" s="8" t="s">
        <v>88</v>
      </c>
      <c r="B6" s="21" t="n">
        <v>75.03</v>
      </c>
      <c r="C6" s="21" t="n">
        <v>69</v>
      </c>
      <c r="D6" s="21" t="n">
        <v>66.23</v>
      </c>
      <c r="E6" s="21" t="n">
        <v>67.52</v>
      </c>
      <c r="F6" s="21" t="n">
        <v>66.76</v>
      </c>
      <c r="G6" s="21" t="n">
        <v>70.41</v>
      </c>
    </row>
    <row r="7" customFormat="false" ht="14.25" hidden="false" customHeight="true" outlineLevel="0" collapsed="false">
      <c r="A7" s="8" t="s">
        <v>89</v>
      </c>
      <c r="B7" s="21"/>
      <c r="C7" s="21" t="n">
        <v>65.6</v>
      </c>
      <c r="D7" s="21" t="n">
        <v>63.48</v>
      </c>
      <c r="E7" s="21" t="n">
        <v>65.78</v>
      </c>
      <c r="F7" s="21" t="n">
        <v>69.31</v>
      </c>
      <c r="G7" s="21" t="n">
        <v>70.31</v>
      </c>
    </row>
    <row r="8" customFormat="false" ht="14.25" hidden="false" customHeight="true" outlineLevel="0" collapsed="false">
      <c r="A8" s="8" t="s">
        <v>90</v>
      </c>
      <c r="B8" s="21" t="n">
        <v>53.82</v>
      </c>
      <c r="C8" s="21" t="n">
        <v>55.22</v>
      </c>
      <c r="D8" s="21" t="n">
        <v>55.26</v>
      </c>
      <c r="E8" s="21" t="n">
        <v>55.85</v>
      </c>
      <c r="F8" s="21" t="n">
        <v>56.7</v>
      </c>
      <c r="G8" s="21" t="n">
        <v>59.65</v>
      </c>
    </row>
    <row r="9" customFormat="false" ht="14.25" hidden="false" customHeight="true" outlineLevel="0" collapsed="false">
      <c r="A9" s="8" t="s">
        <v>91</v>
      </c>
      <c r="B9" s="21" t="n">
        <v>31.42</v>
      </c>
      <c r="C9" s="21" t="n">
        <v>39.78</v>
      </c>
      <c r="D9" s="21" t="n">
        <v>37.28</v>
      </c>
      <c r="E9" s="21" t="n">
        <v>39.19</v>
      </c>
      <c r="F9" s="21" t="n">
        <v>41.86</v>
      </c>
      <c r="G9" s="21" t="n">
        <v>43.79</v>
      </c>
    </row>
    <row r="12" customFormat="false" ht="14.25" hidden="false" customHeight="true" outlineLevel="0" collapsed="false">
      <c r="A12" s="4" t="s">
        <v>92</v>
      </c>
    </row>
    <row r="13" customFormat="false" ht="30" hidden="false" customHeight="true" outlineLevel="0" collapsed="false">
      <c r="A13" s="7" t="s">
        <v>80</v>
      </c>
      <c r="B13" s="7" t="s">
        <v>93</v>
      </c>
      <c r="C13" s="7" t="s">
        <v>94</v>
      </c>
      <c r="D13" s="7" t="s">
        <v>95</v>
      </c>
      <c r="E13" s="7" t="s">
        <v>96</v>
      </c>
    </row>
    <row r="14" customFormat="false" ht="14.25" hidden="false" customHeight="true" outlineLevel="0" collapsed="false">
      <c r="A14" s="8" t="str">
        <f aca="false">A5</f>
        <v>EU-27</v>
      </c>
      <c r="B14" s="21" t="n">
        <f aca="false">C5-B5</f>
        <v>3.18</v>
      </c>
      <c r="C14" s="21" t="n">
        <f aca="false">D5-C5</f>
        <v>-0.919999999999995</v>
      </c>
      <c r="D14" s="21" t="n">
        <f aca="false">E5-D5</f>
        <v>2.04</v>
      </c>
      <c r="E14" s="21" t="n">
        <f aca="false">F5-E5</f>
        <v>2.14</v>
      </c>
    </row>
    <row r="15" customFormat="false" ht="14.25" hidden="false" customHeight="true" outlineLevel="0" collapsed="false">
      <c r="A15" s="8" t="str">
        <f aca="false">A6</f>
        <v>Germany</v>
      </c>
      <c r="B15" s="21" t="n">
        <f aca="false">C6-B6</f>
        <v>-6.03</v>
      </c>
      <c r="C15" s="21" t="n">
        <f aca="false">D6-C6</f>
        <v>-2.77</v>
      </c>
      <c r="D15" s="21" t="n">
        <f aca="false">E6-D6</f>
        <v>1.28999999999999</v>
      </c>
      <c r="E15" s="21" t="n">
        <f aca="false">F6-E6</f>
        <v>-0.759999999999991</v>
      </c>
    </row>
    <row r="16" customFormat="false" ht="14.25" hidden="false" customHeight="true" outlineLevel="0" collapsed="false">
      <c r="A16" s="8" t="str">
        <f aca="false">A7</f>
        <v>France</v>
      </c>
      <c r="B16" s="21"/>
      <c r="C16" s="21" t="n">
        <f aca="false">D7-C7</f>
        <v>-2.12</v>
      </c>
      <c r="D16" s="21" t="n">
        <f aca="false">E7-D7</f>
        <v>2.3</v>
      </c>
      <c r="E16" s="21" t="n">
        <f aca="false">F7-E7</f>
        <v>3.53</v>
      </c>
    </row>
    <row r="17" customFormat="false" ht="14.25" hidden="false" customHeight="true" outlineLevel="0" collapsed="false">
      <c r="A17" s="8" t="str">
        <f aca="false">A8</f>
        <v>Spain</v>
      </c>
      <c r="B17" s="21" t="n">
        <f aca="false">C8-B8</f>
        <v>1.4</v>
      </c>
      <c r="C17" s="21" t="n">
        <f aca="false">D8-C8</f>
        <v>0.0399999999999992</v>
      </c>
      <c r="D17" s="21" t="n">
        <f aca="false">E8-D8</f>
        <v>0.590000000000003</v>
      </c>
      <c r="E17" s="21" t="n">
        <f aca="false">F8-E8</f>
        <v>0.850000000000001</v>
      </c>
    </row>
    <row r="18" customFormat="false" ht="14.25" hidden="false" customHeight="true" outlineLevel="0" collapsed="false">
      <c r="A18" s="8" t="str">
        <f aca="false">A9</f>
        <v>Italy</v>
      </c>
      <c r="B18" s="21" t="n">
        <f aca="false">C9-B9</f>
        <v>8.36</v>
      </c>
      <c r="C18" s="21" t="n">
        <f aca="false">D9-C9</f>
        <v>-2.5</v>
      </c>
      <c r="D18" s="21" t="n">
        <f aca="false">E9-D9</f>
        <v>1.91</v>
      </c>
      <c r="E18" s="21" t="n">
        <f aca="false">F9-E9</f>
        <v>2.67</v>
      </c>
    </row>
    <row r="20" customFormat="false" ht="42" hidden="false" customHeight="true" outlineLevel="0" collapsed="false">
      <c r="A20" s="11" t="s">
        <v>97</v>
      </c>
      <c r="B20" s="11"/>
      <c r="C20" s="11"/>
      <c r="D20" s="11"/>
      <c r="E20" s="11"/>
      <c r="F20" s="11"/>
      <c r="G20" s="11"/>
    </row>
  </sheetData>
  <mergeCells count="3">
    <mergeCell ref="A1:F1"/>
    <mergeCell ref="A2:F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2"/>
  </cols>
  <sheetData>
    <row r="1" customFormat="false" ht="30" hidden="false" customHeight="true" outlineLevel="0" collapsed="false">
      <c r="A1" s="2" t="s">
        <v>98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99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7" t="s">
        <v>80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  <c r="G4" s="7" t="s">
        <v>86</v>
      </c>
    </row>
    <row r="5" customFormat="false" ht="14.25" hidden="false" customHeight="true" outlineLevel="0" collapsed="false">
      <c r="A5" s="8" t="s">
        <v>87</v>
      </c>
      <c r="B5" s="21" t="n">
        <v>14.07</v>
      </c>
      <c r="C5" s="21" t="n">
        <v>15.23</v>
      </c>
      <c r="D5" s="21" t="n">
        <v>15.6</v>
      </c>
      <c r="E5" s="21" t="n">
        <v>16.2</v>
      </c>
      <c r="F5" s="21" t="n">
        <v>16.8</v>
      </c>
      <c r="G5" s="21" t="n">
        <v>17.17</v>
      </c>
    </row>
    <row r="6" customFormat="false" ht="14.25" hidden="false" customHeight="true" outlineLevel="0" collapsed="false">
      <c r="A6" s="8" t="s">
        <v>88</v>
      </c>
      <c r="B6" s="21" t="n">
        <v>12.5</v>
      </c>
      <c r="C6" s="21" t="n">
        <v>13.75</v>
      </c>
      <c r="D6" s="21" t="n">
        <v>14.56</v>
      </c>
      <c r="E6" s="21" t="n">
        <v>15.73</v>
      </c>
      <c r="F6" s="21" t="n">
        <v>15.65</v>
      </c>
      <c r="G6" s="21" t="n">
        <v>16.42</v>
      </c>
    </row>
    <row r="7" customFormat="false" ht="14.25" hidden="false" customHeight="true" outlineLevel="0" collapsed="false">
      <c r="A7" s="8" t="s">
        <v>89</v>
      </c>
      <c r="B7" s="21" t="n">
        <v>11.45</v>
      </c>
      <c r="C7" s="21" t="n">
        <v>13.04</v>
      </c>
      <c r="D7" s="21" t="n">
        <v>12.29</v>
      </c>
      <c r="E7" s="21" t="n">
        <v>13.15</v>
      </c>
      <c r="F7" s="21" t="n">
        <v>14.25</v>
      </c>
      <c r="G7" s="21" t="n">
        <v>14.45</v>
      </c>
    </row>
    <row r="8" customFormat="false" ht="14.25" hidden="false" customHeight="true" outlineLevel="0" collapsed="false">
      <c r="A8" s="8" t="s">
        <v>90</v>
      </c>
      <c r="B8" s="21" t="n">
        <v>17.91</v>
      </c>
      <c r="C8" s="21" t="n">
        <v>18.17</v>
      </c>
      <c r="D8" s="21" t="n">
        <v>21.05</v>
      </c>
      <c r="E8" s="21" t="n">
        <v>21.53</v>
      </c>
      <c r="F8" s="21" t="n">
        <v>22.34</v>
      </c>
      <c r="G8" s="21" t="n">
        <v>21.1</v>
      </c>
    </row>
    <row r="9" customFormat="false" ht="14.25" hidden="false" customHeight="true" outlineLevel="0" collapsed="false">
      <c r="A9" s="8" t="s">
        <v>91</v>
      </c>
      <c r="B9" s="21" t="n">
        <v>11.51</v>
      </c>
      <c r="C9" s="21" t="n">
        <v>13.99</v>
      </c>
      <c r="D9" s="21" t="n">
        <v>13.3</v>
      </c>
      <c r="E9" s="21" t="n">
        <v>13.99</v>
      </c>
      <c r="F9" s="21" t="n">
        <v>14.24</v>
      </c>
      <c r="G9" s="21" t="n">
        <v>15.29</v>
      </c>
    </row>
    <row r="12" customFormat="false" ht="14.25" hidden="false" customHeight="true" outlineLevel="0" collapsed="false">
      <c r="A12" s="4" t="s">
        <v>92</v>
      </c>
    </row>
    <row r="13" customFormat="false" ht="30" hidden="false" customHeight="true" outlineLevel="0" collapsed="false">
      <c r="A13" s="7" t="s">
        <v>80</v>
      </c>
      <c r="B13" s="7" t="s">
        <v>93</v>
      </c>
      <c r="C13" s="7" t="s">
        <v>94</v>
      </c>
      <c r="D13" s="7" t="s">
        <v>95</v>
      </c>
      <c r="E13" s="7" t="s">
        <v>96</v>
      </c>
      <c r="F13" s="7" t="s">
        <v>100</v>
      </c>
    </row>
    <row r="14" customFormat="false" ht="14.25" hidden="false" customHeight="true" outlineLevel="0" collapsed="false">
      <c r="A14" s="8" t="str">
        <f aca="false">A5</f>
        <v>EU-27</v>
      </c>
      <c r="B14" s="21" t="n">
        <f aca="false">C5-B5</f>
        <v>1.16</v>
      </c>
      <c r="C14" s="21" t="n">
        <f aca="false">D5-C5</f>
        <v>0.369999999999999</v>
      </c>
      <c r="D14" s="21" t="n">
        <f aca="false">E5-D5</f>
        <v>0.6</v>
      </c>
      <c r="E14" s="21" t="n">
        <f aca="false">F5-E5</f>
        <v>0.600000000000001</v>
      </c>
      <c r="F14" s="21" t="n">
        <f aca="false">G5-F5</f>
        <v>0.370000000000001</v>
      </c>
    </row>
    <row r="15" customFormat="false" ht="14.25" hidden="false" customHeight="true" outlineLevel="0" collapsed="false">
      <c r="A15" s="8" t="str">
        <f aca="false">A6</f>
        <v>Germany</v>
      </c>
      <c r="B15" s="21" t="n">
        <f aca="false">C6-B6</f>
        <v>1.25</v>
      </c>
      <c r="C15" s="21" t="n">
        <f aca="false">D6-C6</f>
        <v>0.810000000000001</v>
      </c>
      <c r="D15" s="21" t="n">
        <f aca="false">E6-D6</f>
        <v>1.17</v>
      </c>
      <c r="E15" s="21" t="n">
        <f aca="false">F6-E6</f>
        <v>-0.0800000000000001</v>
      </c>
      <c r="F15" s="21" t="n">
        <f aca="false">G6-F6</f>
        <v>0.770000000000001</v>
      </c>
    </row>
    <row r="16" customFormat="false" ht="14.25" hidden="false" customHeight="true" outlineLevel="0" collapsed="false">
      <c r="A16" s="8" t="str">
        <f aca="false">A7</f>
        <v>France</v>
      </c>
      <c r="B16" s="21" t="n">
        <f aca="false">C7-B7</f>
        <v>1.59</v>
      </c>
      <c r="C16" s="21" t="n">
        <f aca="false">D7-C7</f>
        <v>-0.75</v>
      </c>
      <c r="D16" s="21" t="n">
        <f aca="false">E7-D7</f>
        <v>0.860000000000001</v>
      </c>
      <c r="E16" s="21" t="n">
        <f aca="false">F7-E7</f>
        <v>1.1</v>
      </c>
      <c r="F16" s="21" t="n">
        <f aca="false">G7-F7</f>
        <v>0.199999999999999</v>
      </c>
    </row>
    <row r="17" customFormat="false" ht="14.25" hidden="false" customHeight="true" outlineLevel="0" collapsed="false">
      <c r="A17" s="8" t="str">
        <f aca="false">A8</f>
        <v>Spain</v>
      </c>
      <c r="B17" s="21" t="n">
        <f aca="false">C8-B8</f>
        <v>0.260000000000002</v>
      </c>
      <c r="C17" s="21" t="n">
        <f aca="false">D8-C8</f>
        <v>2.88</v>
      </c>
      <c r="D17" s="21" t="n">
        <f aca="false">E8-D8</f>
        <v>0.48</v>
      </c>
      <c r="E17" s="21" t="n">
        <f aca="false">F8-E8</f>
        <v>0.809999999999999</v>
      </c>
      <c r="F17" s="21" t="n">
        <f aca="false">G8-F8</f>
        <v>-1.24</v>
      </c>
    </row>
    <row r="18" customFormat="false" ht="14.25" hidden="false" customHeight="true" outlineLevel="0" collapsed="false">
      <c r="A18" s="8" t="str">
        <f aca="false">A9</f>
        <v>Italy</v>
      </c>
      <c r="B18" s="21" t="n">
        <f aca="false">C9-B9</f>
        <v>2.48</v>
      </c>
      <c r="C18" s="21" t="n">
        <f aca="false">D9-C9</f>
        <v>-0.69</v>
      </c>
      <c r="D18" s="21" t="n">
        <f aca="false">E9-D9</f>
        <v>0.69</v>
      </c>
      <c r="E18" s="21" t="n">
        <f aca="false">F9-E9</f>
        <v>0.25</v>
      </c>
      <c r="F18" s="21" t="n">
        <f aca="false">G9-F9</f>
        <v>1.05</v>
      </c>
    </row>
    <row r="20" customFormat="false" ht="42" hidden="false" customHeight="true" outlineLevel="0" collapsed="false">
      <c r="A20" s="11" t="s">
        <v>101</v>
      </c>
      <c r="B20" s="11"/>
      <c r="C20" s="11"/>
      <c r="D20" s="11"/>
      <c r="E20" s="11"/>
      <c r="F20" s="11"/>
      <c r="G20" s="11"/>
    </row>
  </sheetData>
  <mergeCells count="3">
    <mergeCell ref="A1:F1"/>
    <mergeCell ref="A2:F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4"/>
    <col collapsed="false" customWidth="true" hidden="false" outlineLevel="0" max="4" min="4" style="1" width="12"/>
    <col collapsed="false" customWidth="true" hidden="false" outlineLevel="0" max="6" min="5" style="1" width="18"/>
  </cols>
  <sheetData>
    <row r="1" customFormat="false" ht="30" hidden="false" customHeight="true" outlineLevel="0" collapsed="false">
      <c r="A1" s="2" t="s">
        <v>102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103</v>
      </c>
      <c r="B2" s="3"/>
      <c r="C2" s="3"/>
      <c r="D2" s="3"/>
      <c r="E2" s="3"/>
      <c r="F2" s="3"/>
    </row>
    <row r="4" customFormat="false" ht="14.25" hidden="false" customHeight="true" outlineLevel="0" collapsed="false">
      <c r="A4" s="4" t="s">
        <v>104</v>
      </c>
      <c r="D4" s="4" t="s">
        <v>105</v>
      </c>
    </row>
    <row r="5" customFormat="false" ht="30" hidden="false" customHeight="true" outlineLevel="0" collapsed="false">
      <c r="A5" s="7" t="s">
        <v>36</v>
      </c>
      <c r="B5" s="7" t="s">
        <v>41</v>
      </c>
      <c r="D5" s="7" t="s">
        <v>36</v>
      </c>
      <c r="E5" s="7" t="s">
        <v>39</v>
      </c>
      <c r="F5" s="7" t="s">
        <v>43</v>
      </c>
    </row>
    <row r="6" customFormat="false" ht="14.25" hidden="false" customHeight="true" outlineLevel="0" collapsed="false">
      <c r="A6" s="1" t="n">
        <v>2021</v>
      </c>
      <c r="B6" s="22" t="n">
        <v>0.289</v>
      </c>
      <c r="D6" s="1" t="n">
        <v>2021</v>
      </c>
      <c r="E6" s="22" t="n">
        <v>0.161</v>
      </c>
      <c r="F6" s="22" t="n">
        <v>0.191</v>
      </c>
    </row>
    <row r="7" customFormat="false" ht="14.25" hidden="false" customHeight="true" outlineLevel="0" collapsed="false">
      <c r="A7" s="1" t="n">
        <v>2022</v>
      </c>
      <c r="B7" s="22" t="n">
        <v>0.28</v>
      </c>
      <c r="D7" s="1" t="n">
        <v>2022</v>
      </c>
      <c r="E7" s="22" t="n">
        <v>0.109</v>
      </c>
      <c r="F7" s="22" t="n">
        <v>0.195</v>
      </c>
    </row>
    <row r="8" customFormat="false" ht="14.25" hidden="false" customHeight="true" outlineLevel="0" collapsed="false">
      <c r="A8" s="1" t="n">
        <v>2023</v>
      </c>
      <c r="B8" s="22" t="n">
        <v>0.27</v>
      </c>
      <c r="D8" s="1" t="n">
        <v>2023</v>
      </c>
      <c r="E8" s="22" t="n">
        <v>0.11</v>
      </c>
      <c r="F8" s="22" t="n">
        <v>0.198</v>
      </c>
    </row>
    <row r="9" customFormat="false" ht="14.25" hidden="false" customHeight="true" outlineLevel="0" collapsed="false">
      <c r="A9" s="1" t="n">
        <v>2024</v>
      </c>
      <c r="B9" s="22" t="n">
        <v>0.282</v>
      </c>
      <c r="D9" s="1" t="n">
        <v>2024</v>
      </c>
      <c r="E9" s="22" t="n">
        <v>0.051</v>
      </c>
      <c r="F9" s="22" t="n">
        <v>0.2</v>
      </c>
    </row>
    <row r="10" customFormat="false" ht="14.25" hidden="false" customHeight="true" outlineLevel="0" collapsed="false">
      <c r="A10" s="1" t="n">
        <v>2025</v>
      </c>
      <c r="B10" s="22" t="n">
        <f aca="false">01_LOreal_Data!F9</f>
        <v>0.302</v>
      </c>
      <c r="D10" s="1" t="n">
        <v>2025</v>
      </c>
      <c r="E10" s="22" t="n">
        <v>0.04</v>
      </c>
      <c r="F10" s="22" t="n">
        <v>0.202</v>
      </c>
    </row>
    <row r="13" customFormat="false" ht="42" hidden="false" customHeight="true" outlineLevel="0" collapsed="false">
      <c r="A13" s="11" t="s">
        <v>106</v>
      </c>
      <c r="B13" s="11"/>
      <c r="C13" s="11"/>
      <c r="D13" s="11"/>
      <c r="E13" s="11"/>
      <c r="F13" s="11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4"/>
    <col collapsed="false" customWidth="true" hidden="false" outlineLevel="0" max="4" min="4" style="1" width="42"/>
    <col collapsed="false" customWidth="true" hidden="false" outlineLevel="0" max="5" min="5" style="1" width="58"/>
  </cols>
  <sheetData>
    <row r="1" customFormat="false" ht="30" hidden="false" customHeight="true" outlineLevel="0" collapsed="false">
      <c r="A1" s="2" t="s">
        <v>107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108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7" t="s">
        <v>109</v>
      </c>
      <c r="B4" s="7" t="s">
        <v>110</v>
      </c>
      <c r="C4" s="7" t="s">
        <v>111</v>
      </c>
      <c r="D4" s="7" t="s">
        <v>112</v>
      </c>
      <c r="E4" s="7" t="s">
        <v>113</v>
      </c>
    </row>
    <row r="5" customFormat="false" ht="57.75" hidden="false" customHeight="true" outlineLevel="0" collapsed="false">
      <c r="A5" s="23" t="s">
        <v>114</v>
      </c>
      <c r="B5" s="23" t="s">
        <v>115</v>
      </c>
      <c r="C5" s="23" t="s">
        <v>116</v>
      </c>
      <c r="D5" s="23" t="s">
        <v>117</v>
      </c>
      <c r="E5" s="23" t="s">
        <v>118</v>
      </c>
    </row>
    <row r="6" customFormat="false" ht="57.75" hidden="false" customHeight="true" outlineLevel="0" collapsed="false">
      <c r="A6" s="23" t="s">
        <v>119</v>
      </c>
      <c r="B6" s="23" t="s">
        <v>115</v>
      </c>
      <c r="C6" s="23" t="s">
        <v>86</v>
      </c>
      <c r="D6" s="23" t="s">
        <v>120</v>
      </c>
      <c r="E6" s="23" t="s">
        <v>121</v>
      </c>
    </row>
    <row r="7" customFormat="false" ht="57.75" hidden="false" customHeight="true" outlineLevel="0" collapsed="false">
      <c r="A7" s="23" t="s">
        <v>122</v>
      </c>
      <c r="B7" s="23" t="s">
        <v>115</v>
      </c>
      <c r="C7" s="23" t="s">
        <v>86</v>
      </c>
      <c r="D7" s="23" t="s">
        <v>123</v>
      </c>
      <c r="E7" s="23" t="s">
        <v>124</v>
      </c>
    </row>
    <row r="8" customFormat="false" ht="57.75" hidden="false" customHeight="true" outlineLevel="0" collapsed="false">
      <c r="A8" s="23" t="s">
        <v>125</v>
      </c>
      <c r="B8" s="23" t="s">
        <v>126</v>
      </c>
      <c r="C8" s="23" t="s">
        <v>127</v>
      </c>
      <c r="D8" s="23" t="s">
        <v>128</v>
      </c>
      <c r="E8" s="23" t="s">
        <v>129</v>
      </c>
    </row>
    <row r="9" customFormat="false" ht="57.75" hidden="false" customHeight="true" outlineLevel="0" collapsed="false">
      <c r="A9" s="23" t="s">
        <v>130</v>
      </c>
      <c r="B9" s="23" t="s">
        <v>131</v>
      </c>
      <c r="C9" s="23" t="s">
        <v>132</v>
      </c>
      <c r="D9" s="23" t="s">
        <v>133</v>
      </c>
      <c r="E9" s="23" t="s">
        <v>134</v>
      </c>
    </row>
    <row r="10" customFormat="false" ht="57.75" hidden="false" customHeight="true" outlineLevel="0" collapsed="false">
      <c r="A10" s="23" t="s">
        <v>135</v>
      </c>
      <c r="B10" s="23" t="s">
        <v>131</v>
      </c>
      <c r="C10" s="23" t="s">
        <v>132</v>
      </c>
      <c r="D10" s="23" t="s">
        <v>136</v>
      </c>
      <c r="E10" s="23" t="s">
        <v>137</v>
      </c>
    </row>
    <row r="11" customFormat="false" ht="14.25" hidden="false" customHeight="true" outlineLevel="0" collapsed="false">
      <c r="A11" s="1" t="s">
        <v>138</v>
      </c>
      <c r="B11" s="1" t="s">
        <v>139</v>
      </c>
      <c r="C11" s="1" t="s">
        <v>140</v>
      </c>
      <c r="D11" s="1" t="s">
        <v>141</v>
      </c>
      <c r="E11" s="1" t="s">
        <v>142</v>
      </c>
    </row>
    <row r="12" customFormat="false" ht="14.25" hidden="false" customHeight="true" outlineLevel="0" collapsed="false">
      <c r="A12" s="1" t="s">
        <v>143</v>
      </c>
      <c r="B12" s="1" t="s">
        <v>144</v>
      </c>
      <c r="C12" s="1" t="s">
        <v>145</v>
      </c>
      <c r="D12" s="1" t="s">
        <v>146</v>
      </c>
      <c r="E12" s="1" t="s">
        <v>147</v>
      </c>
    </row>
    <row r="13" customFormat="false" ht="42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14.25" hidden="false" customHeight="true" outlineLevel="0" collapsed="false">
      <c r="A14" s="1" t="s">
        <v>148</v>
      </c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6"/>
    <col collapsed="false" customWidth="true" hidden="false" outlineLevel="0" max="4" min="4" style="1" width="18"/>
  </cols>
  <sheetData>
    <row r="1" customFormat="false" ht="30" hidden="false" customHeight="true" outlineLevel="0" collapsed="false">
      <c r="A1" s="2" t="s">
        <v>149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150</v>
      </c>
      <c r="B2" s="3"/>
      <c r="C2" s="3"/>
      <c r="D2" s="3"/>
      <c r="E2" s="3"/>
      <c r="F2" s="3"/>
    </row>
    <row r="4" customFormat="false" ht="14.25" hidden="false" customHeight="true" outlineLevel="0" collapsed="false">
      <c r="A4" s="4" t="s">
        <v>151</v>
      </c>
    </row>
    <row r="5" customFormat="false" ht="30" hidden="false" customHeight="true" outlineLevel="0" collapsed="false">
      <c r="A5" s="7" t="s">
        <v>36</v>
      </c>
      <c r="B5" s="7" t="s">
        <v>49</v>
      </c>
      <c r="C5" s="7" t="s">
        <v>50</v>
      </c>
      <c r="D5" s="7" t="s">
        <v>152</v>
      </c>
    </row>
    <row r="6" customFormat="false" ht="14.25" hidden="false" customHeight="true" outlineLevel="0" collapsed="false">
      <c r="A6" s="8" t="n">
        <v>2022</v>
      </c>
      <c r="B6" s="20" t="n">
        <f aca="false">01_LOreal_Data!C6</f>
        <v>0.184993619841673</v>
      </c>
      <c r="C6" s="20" t="n">
        <f aca="false">01_LOreal_Data!D6</f>
        <v>0.109</v>
      </c>
      <c r="D6" s="20" t="n">
        <f aca="false">B6-C6</f>
        <v>0.0759936198416731</v>
      </c>
    </row>
    <row r="7" customFormat="false" ht="14.25" hidden="false" customHeight="true" outlineLevel="0" collapsed="false">
      <c r="A7" s="8" t="n">
        <v>2023</v>
      </c>
      <c r="B7" s="20" t="n">
        <f aca="false">01_LOreal_Data!C7</f>
        <v>0.0763683789590337</v>
      </c>
      <c r="C7" s="20" t="n">
        <f aca="false">01_LOreal_Data!D7</f>
        <v>0.11</v>
      </c>
      <c r="D7" s="20" t="n">
        <f aca="false">B7-C7</f>
        <v>-0.0336316210409663</v>
      </c>
    </row>
    <row r="8" customFormat="false" ht="14.25" hidden="false" customHeight="true" outlineLevel="0" collapsed="false">
      <c r="A8" s="8" t="n">
        <v>2024</v>
      </c>
      <c r="B8" s="20" t="n">
        <f aca="false">01_LOreal_Data!C8</f>
        <v>0.055953378255327</v>
      </c>
      <c r="C8" s="20" t="n">
        <f aca="false">01_LOreal_Data!D8</f>
        <v>0.051</v>
      </c>
      <c r="D8" s="20" t="n">
        <f aca="false">B8-C8</f>
        <v>0.00495337825532698</v>
      </c>
    </row>
    <row r="9" customFormat="false" ht="14.25" hidden="false" customHeight="true" outlineLevel="0" collapsed="false">
      <c r="A9" s="8" t="n">
        <v>2025</v>
      </c>
      <c r="B9" s="20" t="n">
        <f aca="false">01_LOreal_Data!C9</f>
        <v>0.0129970473798946</v>
      </c>
      <c r="C9" s="20" t="n">
        <f aca="false">01_LOreal_Data!D9</f>
        <v>0.04</v>
      </c>
      <c r="D9" s="20" t="n">
        <f aca="false">B9-C9</f>
        <v>-0.0270029526201054</v>
      </c>
    </row>
    <row r="11" customFormat="false" ht="42" hidden="false" customHeight="true" outlineLevel="0" collapsed="false">
      <c r="A11" s="11" t="s">
        <v>153</v>
      </c>
      <c r="B11" s="11"/>
      <c r="C11" s="11"/>
      <c r="D11" s="11"/>
      <c r="E11" s="11"/>
      <c r="F11" s="11"/>
    </row>
    <row r="13" customFormat="false" ht="14.25" hidden="false" customHeight="true" outlineLevel="0" collapsed="false">
      <c r="A13" s="4" t="s">
        <v>154</v>
      </c>
    </row>
    <row r="14" customFormat="false" ht="30" hidden="false" customHeight="true" outlineLevel="0" collapsed="false">
      <c r="A14" s="7" t="s">
        <v>155</v>
      </c>
      <c r="B14" s="7" t="s">
        <v>85</v>
      </c>
      <c r="C14" s="7" t="s">
        <v>86</v>
      </c>
      <c r="D14" s="7" t="s">
        <v>156</v>
      </c>
    </row>
    <row r="15" customFormat="false" ht="14.25" hidden="false" customHeight="true" outlineLevel="0" collapsed="false">
      <c r="A15" s="8" t="s">
        <v>157</v>
      </c>
      <c r="B15" s="21" t="n">
        <v>56.7</v>
      </c>
      <c r="C15" s="21" t="n">
        <v>59.65</v>
      </c>
      <c r="D15" s="21" t="n">
        <f aca="false">C15-B15</f>
        <v>2.95</v>
      </c>
    </row>
    <row r="16" customFormat="false" ht="14.25" hidden="false" customHeight="true" outlineLevel="0" collapsed="false">
      <c r="A16" s="8" t="s">
        <v>136</v>
      </c>
      <c r="B16" s="21" t="n">
        <v>22.34</v>
      </c>
      <c r="C16" s="21" t="n">
        <v>21.1</v>
      </c>
      <c r="D16" s="21" t="n">
        <f aca="false">C16-B16</f>
        <v>-1.24</v>
      </c>
    </row>
    <row r="18" customFormat="false" ht="42" hidden="false" customHeight="true" outlineLevel="0" collapsed="false">
      <c r="A18" s="11" t="s">
        <v>158</v>
      </c>
      <c r="B18" s="11"/>
      <c r="C18" s="11"/>
      <c r="D18" s="11"/>
      <c r="E18" s="11"/>
      <c r="F18" s="11"/>
    </row>
  </sheetData>
  <mergeCells count="4">
    <mergeCell ref="A1:F1"/>
    <mergeCell ref="A2:F2"/>
    <mergeCell ref="A11:F11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2026-09-22T17:45:40Z</dcterms:created>
  <dc:creator>Vee</dc:creator>
  <dc:description/>
  <dc:language>en-US</dc:language>
  <cp:lastModifiedBy>NALLA VIGNESHWARI</cp:lastModifiedBy>
  <dcterms:modified xsi:type="dcterms:W3CDTF">2026-10-15T21:16:40Z</dcterms:modified>
  <cp:revision>0</cp:revision>
  <dc:subject/>
  <dc:title>L'Oréal — AI Discovery Measurement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